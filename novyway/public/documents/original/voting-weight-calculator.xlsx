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s" sheetId="1" r:id="rId5"/>
    <sheet state="visible" name="Summary" sheetId="2" r:id="rId6"/>
    <sheet state="visible" name="Individuals" sheetId="3" r:id="rId7"/>
  </sheets>
  <definedNames/>
  <calcPr/>
</workbook>
</file>

<file path=xl/sharedStrings.xml><?xml version="1.0" encoding="utf-8"?>
<sst xmlns="http://schemas.openxmlformats.org/spreadsheetml/2006/main" count="97" uniqueCount="91">
  <si>
    <t>Parameter</t>
  </si>
  <si>
    <t>Value</t>
  </si>
  <si>
    <t>Notes</t>
  </si>
  <si>
    <t>N0 (non-experts count)</t>
  </si>
  <si>
    <t>Count of non-experts</t>
  </si>
  <si>
    <t>N1 (experts L1 count)</t>
  </si>
  <si>
    <t>Count of experts level 1</t>
  </si>
  <si>
    <t>N2 (experts L2 count)</t>
  </si>
  <si>
    <t>Count of experts level 2</t>
  </si>
  <si>
    <t>N3 (experts L3 count)</t>
  </si>
  <si>
    <t>Count of experts level 3</t>
  </si>
  <si>
    <t>q0 (quota non-experts)</t>
  </si>
  <si>
    <t>Share of total base votes</t>
  </si>
  <si>
    <t>q1 (quota L1)</t>
  </si>
  <si>
    <t>votes</t>
  </si>
  <si>
    <t>q3 (quota L3)</t>
  </si>
  <si>
    <t>floor f1 (&gt;=1)</t>
  </si>
  <si>
    <t>Guaranteed minimal per-person base weight for L1</t>
  </si>
  <si>
    <t>floor f2 (&gt;=1)</t>
  </si>
  <si>
    <t>Guaranteed minimal per-person base weight for L2</t>
  </si>
  <si>
    <t>floor f3 (&gt;=1)</t>
  </si>
  <si>
    <t>Guaranteed minimal per-person base weight for L3</t>
  </si>
  <si>
    <t>epsilon_min (increment over 1)</t>
  </si>
  <si>
    <t>Minimal increment so expert &gt; 1 at all times</t>
  </si>
  <si>
    <t>Degrade period T (years)</t>
  </si>
  <si>
    <t>Years per degrade step</t>
  </si>
  <si>
    <t>delta1 per period</t>
  </si>
  <si>
    <t>Fractional drop per period for L1 (0..1)</t>
  </si>
  <si>
    <t>delta2 per period</t>
  </si>
  <si>
    <t>Fractional drop per period for L2 (0..1)</t>
  </si>
  <si>
    <t>delta3 per period</t>
  </si>
  <si>
    <t>Fractional drop per period for L3 (0..1)</t>
  </si>
  <si>
    <t>years since confirm L1</t>
  </si>
  <si>
    <t>If 0, no degrade</t>
  </si>
  <si>
    <t>years since confirm L2</t>
  </si>
  <si>
    <t>years since confirm L3</t>
  </si>
  <si>
    <t>S = N0/q0 (scale)</t>
  </si>
  <si>
    <t>Calculated</t>
  </si>
  <si>
    <t>P_floor (external buffer)</t>
  </si>
  <si>
    <t>Default 10% of S</t>
  </si>
  <si>
    <t>P_edu (education pool)</t>
  </si>
  <si>
    <t>Default 5% of S</t>
  </si>
  <si>
    <t>q_sum check</t>
  </si>
  <si>
    <t>Should equal 1.0</t>
  </si>
  <si>
    <t>S (scale N0/q0)</t>
  </si>
  <si>
    <t>T0 (target base sum NE)</t>
  </si>
  <si>
    <t>T1 (target base sum L1)</t>
  </si>
  <si>
    <t>T2 (target base sum L2)</t>
  </si>
  <si>
    <t>T3 (target base sum L3)</t>
  </si>
  <si>
    <t>f1_eff</t>
  </si>
  <si>
    <t>f2_eff</t>
  </si>
  <si>
    <t>f3_eff</t>
  </si>
  <si>
    <t>N0</t>
  </si>
  <si>
    <t>N1</t>
  </si>
  <si>
    <t>N2</t>
  </si>
  <si>
    <t>N3</t>
  </si>
  <si>
    <t>F0 (NE sum @1)</t>
  </si>
  <si>
    <t>F1 = N1*f1_eff</t>
  </si>
  <si>
    <t>F2 = N2*f2_eff</t>
  </si>
  <si>
    <t>F3 = N3*f3_eff</t>
  </si>
  <si>
    <t>w0_base (NE per-person)</t>
  </si>
  <si>
    <t>w1_base</t>
  </si>
  <si>
    <t>w2_base</t>
  </si>
  <si>
    <t>w3_base</t>
  </si>
  <si>
    <t>delta1 overload</t>
  </si>
  <si>
    <t>delta2 overload</t>
  </si>
  <si>
    <t>delta3 overload</t>
  </si>
  <si>
    <t>Total overload</t>
  </si>
  <si>
    <t>P_floor available</t>
  </si>
  <si>
    <t>Uncovered overload (warning)</t>
  </si>
  <si>
    <t>Base sum NE (quota)</t>
  </si>
  <si>
    <t>Base sum L1 (quota)</t>
  </si>
  <si>
    <t>Base sum L2 (quota)</t>
  </si>
  <si>
    <t>Base sum L3 (quota)</t>
  </si>
  <si>
    <t>Actual base sum NE</t>
  </si>
  <si>
    <t>Actual base sum L1</t>
  </si>
  <si>
    <t>Actual base sum L2</t>
  </si>
  <si>
    <t>Actual base sum L3</t>
  </si>
  <si>
    <t>Sum of positive s_i (Individuals)</t>
  </si>
  <si>
    <t>person_id</t>
  </si>
  <si>
    <t>level (0/1/2/3)</t>
  </si>
  <si>
    <t>s_i (education score -1..1)</t>
  </si>
  <si>
    <t>years_since_confirm (optional)</t>
  </si>
  <si>
    <t>w_base (linked)</t>
  </si>
  <si>
    <t>b_i (P_edu share)</t>
  </si>
  <si>
    <t>w_total</t>
  </si>
  <si>
    <t>alice</t>
  </si>
  <si>
    <t>bob</t>
  </si>
  <si>
    <t>carol</t>
  </si>
  <si>
    <t>dan</t>
  </si>
  <si>
    <t>eva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</si>
</sst>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6.86"/>
    <col customWidth="1" min="2" max="2" width="32.0"/>
    <col customWidth="1" min="3" max="3" width="61.29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70.0</v>
      </c>
      <c r="C2" s="2" t="s">
        <v>4</v>
      </c>
    </row>
    <row r="3">
      <c r="A3" s="2" t="s">
        <v>5</v>
      </c>
      <c r="B3" s="2">
        <v>15.0</v>
      </c>
      <c r="C3" s="2" t="s">
        <v>6</v>
      </c>
    </row>
    <row r="4">
      <c r="A4" s="2" t="s">
        <v>7</v>
      </c>
      <c r="B4" s="2">
        <v>10.0</v>
      </c>
      <c r="C4" s="2" t="s">
        <v>8</v>
      </c>
    </row>
    <row r="5">
      <c r="A5" s="2" t="s">
        <v>9</v>
      </c>
      <c r="B5" s="2">
        <v>5.0</v>
      </c>
      <c r="C5" s="2" t="s">
        <v>10</v>
      </c>
    </row>
    <row r="7">
      <c r="A7" s="2" t="s">
        <v>11</v>
      </c>
      <c r="B7" s="2">
        <v>0.25</v>
      </c>
      <c r="C7" s="3" t="s">
        <v>12</v>
      </c>
    </row>
    <row r="8">
      <c r="A8" s="2" t="s">
        <v>13</v>
      </c>
      <c r="B8" s="2">
        <v>0.15</v>
      </c>
      <c r="C8" s="3" t="s">
        <v>12</v>
      </c>
    </row>
    <row r="9">
      <c r="A9" s="3" t="s">
        <v>14</v>
      </c>
      <c r="B9" s="2">
        <v>0.25</v>
      </c>
      <c r="C9" s="3" t="s">
        <v>12</v>
      </c>
    </row>
    <row r="10">
      <c r="A10" s="2" t="s">
        <v>15</v>
      </c>
      <c r="B10" s="2">
        <v>0.35</v>
      </c>
      <c r="C10" s="3" t="s">
        <v>12</v>
      </c>
    </row>
    <row r="12">
      <c r="A12" s="2" t="s">
        <v>16</v>
      </c>
      <c r="B12" s="2">
        <v>1.2</v>
      </c>
      <c r="C12" s="2" t="s">
        <v>17</v>
      </c>
    </row>
    <row r="13">
      <c r="A13" s="2" t="s">
        <v>18</v>
      </c>
      <c r="B13" s="2">
        <v>2.0</v>
      </c>
      <c r="C13" s="2" t="s">
        <v>19</v>
      </c>
    </row>
    <row r="14">
      <c r="A14" s="2" t="s">
        <v>20</v>
      </c>
      <c r="B14" s="2">
        <v>4.0</v>
      </c>
      <c r="C14" s="2" t="s">
        <v>21</v>
      </c>
    </row>
    <row r="15">
      <c r="A15" s="2" t="s">
        <v>22</v>
      </c>
      <c r="B15" s="2">
        <v>0.1</v>
      </c>
      <c r="C15" s="2" t="s">
        <v>23</v>
      </c>
    </row>
    <row r="17">
      <c r="A17" s="2" t="s">
        <v>24</v>
      </c>
      <c r="B17" s="2">
        <v>5.0</v>
      </c>
      <c r="C17" s="2" t="s">
        <v>25</v>
      </c>
    </row>
    <row r="18">
      <c r="A18" s="2" t="s">
        <v>26</v>
      </c>
      <c r="B18" s="2">
        <v>0.5</v>
      </c>
      <c r="C18" s="2" t="s">
        <v>27</v>
      </c>
    </row>
    <row r="19">
      <c r="A19" s="2" t="s">
        <v>28</v>
      </c>
      <c r="B19" s="2">
        <v>0.5</v>
      </c>
      <c r="C19" s="2" t="s">
        <v>29</v>
      </c>
    </row>
    <row r="20">
      <c r="A20" s="2" t="s">
        <v>30</v>
      </c>
      <c r="B20" s="2">
        <v>0.5</v>
      </c>
      <c r="C20" s="2" t="s">
        <v>31</v>
      </c>
    </row>
    <row r="21" ht="15.75" customHeight="1">
      <c r="A21" s="2" t="s">
        <v>32</v>
      </c>
      <c r="B21" s="2">
        <v>0.0</v>
      </c>
      <c r="C21" s="2" t="s">
        <v>33</v>
      </c>
    </row>
    <row r="22" ht="15.75" customHeight="1">
      <c r="A22" s="2" t="s">
        <v>34</v>
      </c>
      <c r="B22" s="2">
        <v>0.0</v>
      </c>
      <c r="C22" s="2" t="s">
        <v>33</v>
      </c>
    </row>
    <row r="23" ht="15.75" customHeight="1">
      <c r="A23" s="2" t="s">
        <v>35</v>
      </c>
      <c r="B23" s="2">
        <v>0.0</v>
      </c>
      <c r="C23" s="2" t="s">
        <v>33</v>
      </c>
    </row>
    <row r="24" ht="15.75" customHeight="1"/>
    <row r="25" ht="15.75" customHeight="1">
      <c r="A25" s="2" t="s">
        <v>36</v>
      </c>
      <c r="B25" s="2">
        <f>B2/B7</f>
        <v>280</v>
      </c>
      <c r="C25" s="2" t="s">
        <v>37</v>
      </c>
    </row>
    <row r="26" ht="15.75" customHeight="1">
      <c r="A26" s="2" t="s">
        <v>38</v>
      </c>
      <c r="B26" s="2">
        <f>0.1*B25</f>
        <v>28</v>
      </c>
      <c r="C26" s="2" t="s">
        <v>39</v>
      </c>
    </row>
    <row r="27" ht="15.75" customHeight="1">
      <c r="A27" s="2" t="s">
        <v>40</v>
      </c>
      <c r="B27" s="2">
        <f>0.05*B25</f>
        <v>14</v>
      </c>
      <c r="C27" s="2" t="s">
        <v>41</v>
      </c>
    </row>
    <row r="28" ht="15.75" customHeight="1">
      <c r="A28" s="2" t="s">
        <v>42</v>
      </c>
      <c r="B28" s="2">
        <f>B7+B8+B9+B10</f>
        <v>1</v>
      </c>
      <c r="C28" s="2" t="s">
        <v>43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42.0"/>
    <col customWidth="1" min="4" max="26" width="8.71"/>
  </cols>
  <sheetData>
    <row r="1">
      <c r="A1" s="1" t="s">
        <v>44</v>
      </c>
      <c r="B1" s="1"/>
      <c r="C1" s="1">
        <f>Inputs!B2/Inputs!B7</f>
        <v>280</v>
      </c>
    </row>
    <row r="2">
      <c r="A2" s="2" t="s">
        <v>45</v>
      </c>
      <c r="C2" s="2">
        <f>Inputs!B25*Inputs!B7</f>
        <v>70</v>
      </c>
    </row>
    <row r="3">
      <c r="A3" s="2" t="s">
        <v>46</v>
      </c>
      <c r="C3" s="2">
        <f>Inputs!B25*Inputs!B8</f>
        <v>42</v>
      </c>
    </row>
    <row r="4">
      <c r="A4" s="2" t="s">
        <v>47</v>
      </c>
      <c r="C4" s="2">
        <f>Inputs!B25*Inputs!B9</f>
        <v>70</v>
      </c>
    </row>
    <row r="5">
      <c r="A5" s="2" t="s">
        <v>48</v>
      </c>
      <c r="C5" s="2">
        <f>Inputs!B25*Inputs!B10</f>
        <v>98</v>
      </c>
    </row>
    <row r="7">
      <c r="A7" s="2" t="s">
        <v>49</v>
      </c>
      <c r="C7" s="2">
        <f>1+MAX( (Inputs!B12-1)*POWER(1-Inputs!B18, IF(Inputs!B17=0,0,Inputs!B21/Inputs!B17)), Inputs!B15)</f>
        <v>1.2</v>
      </c>
    </row>
    <row r="8">
      <c r="A8" s="2" t="s">
        <v>50</v>
      </c>
      <c r="C8" s="2">
        <f>1+MAX( (Inputs!B13-1)*POWER(1-Inputs!B19, IF(Inputs!B17=0,0,Inputs!B22/Inputs!B17)), Inputs!B15)</f>
        <v>2</v>
      </c>
    </row>
    <row r="9">
      <c r="A9" s="2" t="s">
        <v>51</v>
      </c>
      <c r="C9" s="2">
        <f>1+MAX( (Inputs!B14-1)*POWER(1-Inputs!B20, IF(Inputs!B17=0,0,Inputs!B23/Inputs!B17)), Inputs!B15)</f>
        <v>4</v>
      </c>
    </row>
    <row r="11">
      <c r="A11" s="2" t="s">
        <v>52</v>
      </c>
      <c r="C11" s="2">
        <f>Inputs!B2</f>
        <v>70</v>
      </c>
    </row>
    <row r="12">
      <c r="A12" s="2" t="s">
        <v>53</v>
      </c>
      <c r="C12" s="2">
        <f>Inputs!B3</f>
        <v>15</v>
      </c>
    </row>
    <row r="13">
      <c r="A13" s="2" t="s">
        <v>54</v>
      </c>
      <c r="C13" s="2">
        <f>Inputs!B4</f>
        <v>10</v>
      </c>
    </row>
    <row r="14">
      <c r="A14" s="2" t="s">
        <v>55</v>
      </c>
      <c r="C14" s="2">
        <f>Inputs!B5</f>
        <v>5</v>
      </c>
    </row>
    <row r="16">
      <c r="A16" s="2" t="s">
        <v>56</v>
      </c>
      <c r="C16" s="2">
        <f>Summary!C11*1</f>
        <v>70</v>
      </c>
    </row>
    <row r="17">
      <c r="A17" s="2" t="s">
        <v>57</v>
      </c>
      <c r="C17" s="2">
        <f>Summary!C12*Summary!C7</f>
        <v>18</v>
      </c>
    </row>
    <row r="18">
      <c r="A18" s="2" t="s">
        <v>58</v>
      </c>
      <c r="C18" s="2">
        <f>Summary!C13*Summary!C8</f>
        <v>20</v>
      </c>
    </row>
    <row r="19">
      <c r="A19" s="2" t="s">
        <v>59</v>
      </c>
      <c r="C19" s="2">
        <f>Summary!C14*Summary!C9</f>
        <v>20</v>
      </c>
    </row>
    <row r="21" ht="15.75" customHeight="1">
      <c r="A21" s="2" t="s">
        <v>60</v>
      </c>
      <c r="C21" s="2">
        <f>1</f>
        <v>1</v>
      </c>
    </row>
    <row r="22" ht="15.75" customHeight="1">
      <c r="A22" s="2" t="s">
        <v>61</v>
      </c>
      <c r="C22" s="2">
        <f>IF(Summary!C17&lt;=Summary!C3, Summary!C7 + (Summary!C3 - Summary!C17)/Summary!C12, Summary!C7)</f>
        <v>2.8</v>
      </c>
    </row>
    <row r="23" ht="15.75" customHeight="1">
      <c r="A23" s="2" t="s">
        <v>62</v>
      </c>
      <c r="C23" s="2">
        <f>IF(Summary!C18&lt;=Summary!C4, Summary!C8 + (Summary!C4 - Summary!C18)/Summary!C13, Summary!C8)</f>
        <v>7</v>
      </c>
    </row>
    <row r="24" ht="15.75" customHeight="1">
      <c r="A24" s="2" t="s">
        <v>63</v>
      </c>
      <c r="C24" s="2">
        <f>IF(Summary!C19&lt;=Summary!C5, Summary!C9 + (Summary!C5 - Summary!C19)/Summary!C14, Summary!C9)</f>
        <v>19.6</v>
      </c>
    </row>
    <row r="25" ht="15.75" customHeight="1"/>
    <row r="26" ht="15.75" customHeight="1">
      <c r="A26" s="2" t="s">
        <v>64</v>
      </c>
      <c r="C26" s="2">
        <f>MAX(Summary!C17 - Summary!C3, 0)</f>
        <v>0</v>
      </c>
    </row>
    <row r="27" ht="15.75" customHeight="1">
      <c r="A27" s="2" t="s">
        <v>65</v>
      </c>
      <c r="C27" s="2">
        <f>MAX(Summary!C18 - Summary!C4, 0)</f>
        <v>0</v>
      </c>
    </row>
    <row r="28" ht="15.75" customHeight="1">
      <c r="A28" s="2" t="s">
        <v>66</v>
      </c>
      <c r="C28" s="2">
        <f>MAX(Summary!C19 - Summary!C5, 0)</f>
        <v>0</v>
      </c>
    </row>
    <row r="29" ht="15.75" customHeight="1">
      <c r="A29" s="2" t="s">
        <v>67</v>
      </c>
      <c r="C29" s="2">
        <f>Summary!C26+Summary!C27+Summary!C28</f>
        <v>0</v>
      </c>
    </row>
    <row r="30" ht="15.75" customHeight="1">
      <c r="A30" s="2" t="s">
        <v>68</v>
      </c>
      <c r="C30" s="2">
        <f>Inputs!B26</f>
        <v>28</v>
      </c>
    </row>
    <row r="31" ht="15.75" customHeight="1">
      <c r="A31" s="2" t="s">
        <v>69</v>
      </c>
      <c r="C31" s="2">
        <f>MAX(Summary!C29 - Summary!C30, 0)</f>
        <v>0</v>
      </c>
    </row>
    <row r="32" ht="15.75" customHeight="1"/>
    <row r="33" ht="15.75" customHeight="1">
      <c r="A33" s="2" t="s">
        <v>70</v>
      </c>
      <c r="C33" s="2">
        <f>Summary!C2</f>
        <v>70</v>
      </c>
    </row>
    <row r="34" ht="15.75" customHeight="1">
      <c r="A34" s="2" t="s">
        <v>71</v>
      </c>
      <c r="C34" s="2">
        <f>Summary!C3</f>
        <v>42</v>
      </c>
    </row>
    <row r="35" ht="15.75" customHeight="1">
      <c r="A35" s="2" t="s">
        <v>72</v>
      </c>
      <c r="C35" s="2">
        <f>Summary!C4</f>
        <v>70</v>
      </c>
    </row>
    <row r="36" ht="15.75" customHeight="1">
      <c r="A36" s="2" t="s">
        <v>73</v>
      </c>
      <c r="C36" s="2">
        <f>Summary!C5</f>
        <v>98</v>
      </c>
    </row>
    <row r="37" ht="15.75" customHeight="1">
      <c r="A37" s="2" t="s">
        <v>74</v>
      </c>
      <c r="C37" s="2">
        <f>Summary!C11*Summary!C21</f>
        <v>70</v>
      </c>
    </row>
    <row r="38" ht="15.75" customHeight="1">
      <c r="A38" s="2" t="s">
        <v>75</v>
      </c>
      <c r="C38" s="2">
        <f>Summary!C12*Summary!C22</f>
        <v>42</v>
      </c>
    </row>
    <row r="39" ht="15.75" customHeight="1">
      <c r="A39" s="2" t="s">
        <v>76</v>
      </c>
      <c r="C39" s="2">
        <f>Summary!C13*Summary!C23</f>
        <v>70</v>
      </c>
    </row>
    <row r="40" ht="15.75" customHeight="1">
      <c r="A40" s="2" t="s">
        <v>77</v>
      </c>
      <c r="C40" s="2">
        <f>Summary!C14*Summary!C24</f>
        <v>98</v>
      </c>
    </row>
    <row r="41" ht="15.75" customHeight="1"/>
    <row r="42" ht="15.75" customHeight="1">
      <c r="A42" s="2" t="s">
        <v>40</v>
      </c>
      <c r="C42" s="2">
        <f>Inputs!B27</f>
        <v>14</v>
      </c>
    </row>
    <row r="43" ht="15.75" customHeight="1">
      <c r="A43" s="2" t="s">
        <v>78</v>
      </c>
      <c r="C43" s="2">
        <f>SUMIF(Individuals!C:C,"&gt;0",Individuals!C:C)</f>
        <v>1.5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7" width="28.0"/>
    <col customWidth="1" min="8" max="26" width="8.71"/>
  </cols>
  <sheetData>
    <row r="1">
      <c r="A1" s="2" t="s">
        <v>79</v>
      </c>
      <c r="B1" s="2" t="s">
        <v>80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85</v>
      </c>
    </row>
    <row r="2">
      <c r="A2" s="2" t="s">
        <v>86</v>
      </c>
      <c r="B2" s="2">
        <v>0.0</v>
      </c>
      <c r="C2" s="2">
        <v>0.0</v>
      </c>
      <c r="E2" s="2" t="str">
        <f>IF(B2=0, Summary!B20, IF(B2=1, Summary!B21, IF(B2=2, Summary!B22, IF(B2=3, Summary!B23, ""))))</f>
        <v/>
      </c>
      <c r="F2" s="2">
        <f>IF(C2&gt;0, Summary!B36 * C2 / IF(Summary!B37=0, 1, Summary!B37), 0)</f>
        <v>0</v>
      </c>
      <c r="G2" s="2" t="str">
        <f t="shared" ref="G2:G200" si="1">IF(E2="", "", E2+F2)</f>
        <v/>
      </c>
    </row>
    <row r="3">
      <c r="A3" s="2" t="s">
        <v>87</v>
      </c>
      <c r="B3" s="2">
        <v>1.0</v>
      </c>
      <c r="C3" s="2">
        <v>0.2</v>
      </c>
      <c r="D3" s="2">
        <v>0.0</v>
      </c>
      <c r="E3" s="2" t="str">
        <f>IF(B3=0, Summary!B20, IF(B3=1, Summary!B21, IF(B3=2, Summary!B22, IF(B3=3, Summary!B23, ""))))</f>
        <v/>
      </c>
      <c r="F3" s="2">
        <f>IF(C3&gt;0, Summary!B36 * C3 / IF(Summary!B37=0, 1, Summary!B37), 0)</f>
        <v>0</v>
      </c>
      <c r="G3" s="2" t="str">
        <f t="shared" si="1"/>
        <v/>
      </c>
    </row>
    <row r="4">
      <c r="A4" s="2" t="s">
        <v>88</v>
      </c>
      <c r="B4" s="2">
        <v>2.0</v>
      </c>
      <c r="C4" s="2">
        <v>0.8</v>
      </c>
      <c r="D4" s="2">
        <v>3.0</v>
      </c>
      <c r="E4" s="2" t="str">
        <f>IF(B4=0, Summary!B20, IF(B4=1, Summary!B21, IF(B4=2, Summary!B22, IF(B4=3, Summary!B23, ""))))</f>
        <v/>
      </c>
      <c r="F4" s="2">
        <f>IF(C4&gt;0, Summary!B36 * C4 / IF(Summary!B37=0, 1, Summary!B37), 0)</f>
        <v>0</v>
      </c>
      <c r="G4" s="2" t="str">
        <f t="shared" si="1"/>
        <v/>
      </c>
    </row>
    <row r="5">
      <c r="A5" s="2" t="s">
        <v>89</v>
      </c>
      <c r="B5" s="2">
        <v>3.0</v>
      </c>
      <c r="C5" s="2">
        <v>0.5</v>
      </c>
      <c r="D5" s="2">
        <v>8.0</v>
      </c>
      <c r="E5" s="2" t="str">
        <f>IF(B5=0, Summary!B20, IF(B5=1, Summary!B21, IF(B5=2, Summary!B22, IF(B5=3, Summary!B23, ""))))</f>
        <v/>
      </c>
      <c r="F5" s="2">
        <f>IF(C5&gt;0, Summary!B36 * C5 / IF(Summary!B37=0, 1, Summary!B37), 0)</f>
        <v>0</v>
      </c>
      <c r="G5" s="2" t="str">
        <f t="shared" si="1"/>
        <v/>
      </c>
    </row>
    <row r="6">
      <c r="A6" s="2" t="s">
        <v>90</v>
      </c>
      <c r="B6" s="2">
        <v>1.0</v>
      </c>
      <c r="C6" s="2">
        <v>-0.1</v>
      </c>
      <c r="D6" s="2">
        <v>1.0</v>
      </c>
      <c r="E6" s="2" t="str">
        <f>IF(B6=0, Summary!B20, IF(B6=1, Summary!B21, IF(B6=2, Summary!B22, IF(B6=3, Summary!B23, ""))))</f>
        <v/>
      </c>
      <c r="F6" s="2">
        <f>IF(C6&gt;0, Summary!B36 * C6 / IF(Summary!B37=0, 1, Summary!B37), 0)</f>
        <v>0</v>
      </c>
      <c r="G6" s="2" t="str">
        <f t="shared" si="1"/>
        <v/>
      </c>
    </row>
    <row r="7">
      <c r="E7" s="2" t="str">
        <f>IF(B7=0, Summary!B20, IF(B7=1, Summary!B21, IF(B7=2, Summary!B22, IF(B7=3, Summary!B23, ""))))</f>
        <v/>
      </c>
      <c r="F7" s="2">
        <f>IF(C7&gt;0, Summary!B36 * C7 / IF(Summary!B37=0, 1, Summary!B37), 0)</f>
        <v>0</v>
      </c>
      <c r="G7" s="2" t="str">
        <f t="shared" si="1"/>
        <v/>
      </c>
    </row>
    <row r="8">
      <c r="E8" s="2" t="str">
        <f>IF(B8=0, Summary!B20, IF(B8=1, Summary!B21, IF(B8=2, Summary!B22, IF(B8=3, Summary!B23, ""))))</f>
        <v/>
      </c>
      <c r="F8" s="2">
        <f>IF(C8&gt;0, Summary!B36 * C8 / IF(Summary!B37=0, 1, Summary!B37), 0)</f>
        <v>0</v>
      </c>
      <c r="G8" s="2" t="str">
        <f t="shared" si="1"/>
        <v/>
      </c>
    </row>
    <row r="9">
      <c r="E9" s="2" t="str">
        <f>IF(B9=0, Summary!B20, IF(B9=1, Summary!B21, IF(B9=2, Summary!B22, IF(B9=3, Summary!B23, ""))))</f>
        <v/>
      </c>
      <c r="F9" s="2">
        <f>IF(C9&gt;0, Summary!B36 * C9 / IF(Summary!B37=0, 1, Summary!B37), 0)</f>
        <v>0</v>
      </c>
      <c r="G9" s="2" t="str">
        <f t="shared" si="1"/>
        <v/>
      </c>
    </row>
    <row r="10">
      <c r="E10" s="2" t="str">
        <f>IF(B10=0, Summary!B20, IF(B10=1, Summary!B21, IF(B10=2, Summary!B22, IF(B10=3, Summary!B23, ""))))</f>
        <v/>
      </c>
      <c r="F10" s="2">
        <f>IF(C10&gt;0, Summary!B36 * C10 / IF(Summary!B37=0, 1, Summary!B37), 0)</f>
        <v>0</v>
      </c>
      <c r="G10" s="2" t="str">
        <f t="shared" si="1"/>
        <v/>
      </c>
    </row>
    <row r="11">
      <c r="E11" s="2" t="str">
        <f>IF(B11=0, Summary!B20, IF(B11=1, Summary!B21, IF(B11=2, Summary!B22, IF(B11=3, Summary!B23, ""))))</f>
        <v/>
      </c>
      <c r="F11" s="2">
        <f>IF(C11&gt;0, Summary!B36 * C11 / IF(Summary!B37=0, 1, Summary!B37), 0)</f>
        <v>0</v>
      </c>
      <c r="G11" s="2" t="str">
        <f t="shared" si="1"/>
        <v/>
      </c>
    </row>
    <row r="12">
      <c r="E12" s="2" t="str">
        <f>IF(B12=0, Summary!B20, IF(B12=1, Summary!B21, IF(B12=2, Summary!B22, IF(B12=3, Summary!B23, ""))))</f>
        <v/>
      </c>
      <c r="F12" s="2">
        <f>IF(C12&gt;0, Summary!B36 * C12 / IF(Summary!B37=0, 1, Summary!B37), 0)</f>
        <v>0</v>
      </c>
      <c r="G12" s="2" t="str">
        <f t="shared" si="1"/>
        <v/>
      </c>
    </row>
    <row r="13">
      <c r="E13" s="2" t="str">
        <f>IF(B13=0, Summary!B20, IF(B13=1, Summary!B21, IF(B13=2, Summary!B22, IF(B13=3, Summary!B23, ""))))</f>
        <v/>
      </c>
      <c r="F13" s="2">
        <f>IF(C13&gt;0, Summary!B36 * C13 / IF(Summary!B37=0, 1, Summary!B37), 0)</f>
        <v>0</v>
      </c>
      <c r="G13" s="2" t="str">
        <f t="shared" si="1"/>
        <v/>
      </c>
    </row>
    <row r="14">
      <c r="E14" s="2" t="str">
        <f>IF(B14=0, Summary!B20, IF(B14=1, Summary!B21, IF(B14=2, Summary!B22, IF(B14=3, Summary!B23, ""))))</f>
        <v/>
      </c>
      <c r="F14" s="2">
        <f>IF(C14&gt;0, Summary!B36 * C14 / IF(Summary!B37=0, 1, Summary!B37), 0)</f>
        <v>0</v>
      </c>
      <c r="G14" s="2" t="str">
        <f t="shared" si="1"/>
        <v/>
      </c>
    </row>
    <row r="15">
      <c r="E15" s="2" t="str">
        <f>IF(B15=0, Summary!B20, IF(B15=1, Summary!B21, IF(B15=2, Summary!B22, IF(B15=3, Summary!B23, ""))))</f>
        <v/>
      </c>
      <c r="F15" s="2">
        <f>IF(C15&gt;0, Summary!B36 * C15 / IF(Summary!B37=0, 1, Summary!B37), 0)</f>
        <v>0</v>
      </c>
      <c r="G15" s="2" t="str">
        <f t="shared" si="1"/>
        <v/>
      </c>
    </row>
    <row r="16">
      <c r="E16" s="2" t="str">
        <f>IF(B16=0, Summary!B20, IF(B16=1, Summary!B21, IF(B16=2, Summary!B22, IF(B16=3, Summary!B23, ""))))</f>
        <v/>
      </c>
      <c r="F16" s="2">
        <f>IF(C16&gt;0, Summary!B36 * C16 / IF(Summary!B37=0, 1, Summary!B37), 0)</f>
        <v>0</v>
      </c>
      <c r="G16" s="2" t="str">
        <f t="shared" si="1"/>
        <v/>
      </c>
    </row>
    <row r="17">
      <c r="E17" s="2" t="str">
        <f>IF(B17=0, Summary!B20, IF(B17=1, Summary!B21, IF(B17=2, Summary!B22, IF(B17=3, Summary!B23, ""))))</f>
        <v/>
      </c>
      <c r="F17" s="2">
        <f>IF(C17&gt;0, Summary!B36 * C17 / IF(Summary!B37=0, 1, Summary!B37), 0)</f>
        <v>0</v>
      </c>
      <c r="G17" s="2" t="str">
        <f t="shared" si="1"/>
        <v/>
      </c>
    </row>
    <row r="18">
      <c r="E18" s="2" t="str">
        <f>IF(B18=0, Summary!B20, IF(B18=1, Summary!B21, IF(B18=2, Summary!B22, IF(B18=3, Summary!B23, ""))))</f>
        <v/>
      </c>
      <c r="F18" s="2">
        <f>IF(C18&gt;0, Summary!B36 * C18 / IF(Summary!B37=0, 1, Summary!B37), 0)</f>
        <v>0</v>
      </c>
      <c r="G18" s="2" t="str">
        <f t="shared" si="1"/>
        <v/>
      </c>
    </row>
    <row r="19">
      <c r="E19" s="2" t="str">
        <f>IF(B19=0, Summary!B20, IF(B19=1, Summary!B21, IF(B19=2, Summary!B22, IF(B19=3, Summary!B23, ""))))</f>
        <v/>
      </c>
      <c r="F19" s="2">
        <f>IF(C19&gt;0, Summary!B36 * C19 / IF(Summary!B37=0, 1, Summary!B37), 0)</f>
        <v>0</v>
      </c>
      <c r="G19" s="2" t="str">
        <f t="shared" si="1"/>
        <v/>
      </c>
    </row>
    <row r="20">
      <c r="E20" s="2" t="str">
        <f>IF(B20=0, Summary!B20, IF(B20=1, Summary!B21, IF(B20=2, Summary!B22, IF(B20=3, Summary!B23, ""))))</f>
        <v/>
      </c>
      <c r="F20" s="2">
        <f>IF(C20&gt;0, Summary!B36 * C20 / IF(Summary!B37=0, 1, Summary!B37), 0)</f>
        <v>0</v>
      </c>
      <c r="G20" s="2" t="str">
        <f t="shared" si="1"/>
        <v/>
      </c>
    </row>
    <row r="21" ht="15.75" customHeight="1">
      <c r="E21" s="2" t="str">
        <f>IF(B21=0, Summary!B20, IF(B21=1, Summary!B21, IF(B21=2, Summary!B22, IF(B21=3, Summary!B23, ""))))</f>
        <v/>
      </c>
      <c r="F21" s="2">
        <f>IF(C21&gt;0, Summary!B36 * C21 / IF(Summary!B37=0, 1, Summary!B37), 0)</f>
        <v>0</v>
      </c>
      <c r="G21" s="2" t="str">
        <f t="shared" si="1"/>
        <v/>
      </c>
    </row>
    <row r="22" ht="15.75" customHeight="1">
      <c r="E22" s="2" t="str">
        <f>IF(B22=0, Summary!B20, IF(B22=1, Summary!B21, IF(B22=2, Summary!B22, IF(B22=3, Summary!B23, ""))))</f>
        <v/>
      </c>
      <c r="F22" s="2">
        <f>IF(C22&gt;0, Summary!B36 * C22 / IF(Summary!B37=0, 1, Summary!B37), 0)</f>
        <v>0</v>
      </c>
      <c r="G22" s="2" t="str">
        <f t="shared" si="1"/>
        <v/>
      </c>
    </row>
    <row r="23" ht="15.75" customHeight="1">
      <c r="E23" s="2" t="str">
        <f>IF(B23=0, Summary!B20, IF(B23=1, Summary!B21, IF(B23=2, Summary!B22, IF(B23=3, Summary!B23, ""))))</f>
        <v/>
      </c>
      <c r="F23" s="2">
        <f>IF(C23&gt;0, Summary!B36 * C23 / IF(Summary!B37=0, 1, Summary!B37), 0)</f>
        <v>0</v>
      </c>
      <c r="G23" s="2" t="str">
        <f t="shared" si="1"/>
        <v/>
      </c>
    </row>
    <row r="24" ht="15.75" customHeight="1">
      <c r="E24" s="2" t="str">
        <f>IF(B24=0, Summary!B20, IF(B24=1, Summary!B21, IF(B24=2, Summary!B22, IF(B24=3, Summary!B23, ""))))</f>
        <v/>
      </c>
      <c r="F24" s="2">
        <f>IF(C24&gt;0, Summary!B36 * C24 / IF(Summary!B37=0, 1, Summary!B37), 0)</f>
        <v>0</v>
      </c>
      <c r="G24" s="2" t="str">
        <f t="shared" si="1"/>
        <v/>
      </c>
    </row>
    <row r="25" ht="15.75" customHeight="1">
      <c r="E25" s="2" t="str">
        <f>IF(B25=0, Summary!B20, IF(B25=1, Summary!B21, IF(B25=2, Summary!B22, IF(B25=3, Summary!B23, ""))))</f>
        <v/>
      </c>
      <c r="F25" s="2">
        <f>IF(C25&gt;0, Summary!B36 * C25 / IF(Summary!B37=0, 1, Summary!B37), 0)</f>
        <v>0</v>
      </c>
      <c r="G25" s="2" t="str">
        <f t="shared" si="1"/>
        <v/>
      </c>
    </row>
    <row r="26" ht="15.75" customHeight="1">
      <c r="E26" s="2" t="str">
        <f>IF(B26=0, Summary!B20, IF(B26=1, Summary!B21, IF(B26=2, Summary!B22, IF(B26=3, Summary!B23, ""))))</f>
        <v/>
      </c>
      <c r="F26" s="2">
        <f>IF(C26&gt;0, Summary!B36 * C26 / IF(Summary!B37=0, 1, Summary!B37), 0)</f>
        <v>0</v>
      </c>
      <c r="G26" s="2" t="str">
        <f t="shared" si="1"/>
        <v/>
      </c>
    </row>
    <row r="27" ht="15.75" customHeight="1">
      <c r="E27" s="2" t="str">
        <f>IF(B27=0, Summary!B20, IF(B27=1, Summary!B21, IF(B27=2, Summary!B22, IF(B27=3, Summary!B23, ""))))</f>
        <v/>
      </c>
      <c r="F27" s="2">
        <f>IF(C27&gt;0, Summary!B36 * C27 / IF(Summary!B37=0, 1, Summary!B37), 0)</f>
        <v>0</v>
      </c>
      <c r="G27" s="2" t="str">
        <f t="shared" si="1"/>
        <v/>
      </c>
    </row>
    <row r="28" ht="15.75" customHeight="1">
      <c r="E28" s="2" t="str">
        <f>IF(B28=0, Summary!B20, IF(B28=1, Summary!B21, IF(B28=2, Summary!B22, IF(B28=3, Summary!B23, ""))))</f>
        <v/>
      </c>
      <c r="F28" s="2">
        <f>IF(C28&gt;0, Summary!B36 * C28 / IF(Summary!B37=0, 1, Summary!B37), 0)</f>
        <v>0</v>
      </c>
      <c r="G28" s="2" t="str">
        <f t="shared" si="1"/>
        <v/>
      </c>
    </row>
    <row r="29" ht="15.75" customHeight="1">
      <c r="E29" s="2" t="str">
        <f>IF(B29=0, Summary!B20, IF(B29=1, Summary!B21, IF(B29=2, Summary!B22, IF(B29=3, Summary!B23, ""))))</f>
        <v/>
      </c>
      <c r="F29" s="2">
        <f>IF(C29&gt;0, Summary!B36 * C29 / IF(Summary!B37=0, 1, Summary!B37), 0)</f>
        <v>0</v>
      </c>
      <c r="G29" s="2" t="str">
        <f t="shared" si="1"/>
        <v/>
      </c>
    </row>
    <row r="30" ht="15.75" customHeight="1">
      <c r="E30" s="2" t="str">
        <f>IF(B30=0, Summary!B20, IF(B30=1, Summary!B21, IF(B30=2, Summary!B22, IF(B30=3, Summary!B23, ""))))</f>
        <v/>
      </c>
      <c r="F30" s="2">
        <f>IF(C30&gt;0, Summary!B36 * C30 / IF(Summary!B37=0, 1, Summary!B37), 0)</f>
        <v>0</v>
      </c>
      <c r="G30" s="2" t="str">
        <f t="shared" si="1"/>
        <v/>
      </c>
    </row>
    <row r="31" ht="15.75" customHeight="1">
      <c r="E31" s="2" t="str">
        <f>IF(B31=0, Summary!B20, IF(B31=1, Summary!B21, IF(B31=2, Summary!B22, IF(B31=3, Summary!B23, ""))))</f>
        <v/>
      </c>
      <c r="F31" s="2">
        <f>IF(C31&gt;0, Summary!B36 * C31 / IF(Summary!B37=0, 1, Summary!B37), 0)</f>
        <v>0</v>
      </c>
      <c r="G31" s="2" t="str">
        <f t="shared" si="1"/>
        <v/>
      </c>
    </row>
    <row r="32" ht="15.75" customHeight="1">
      <c r="E32" s="2" t="str">
        <f>IF(B32=0, Summary!B20, IF(B32=1, Summary!B21, IF(B32=2, Summary!B22, IF(B32=3, Summary!B23, ""))))</f>
        <v/>
      </c>
      <c r="F32" s="2">
        <f>IF(C32&gt;0, Summary!B36 * C32 / IF(Summary!B37=0, 1, Summary!B37), 0)</f>
        <v>0</v>
      </c>
      <c r="G32" s="2" t="str">
        <f t="shared" si="1"/>
        <v/>
      </c>
    </row>
    <row r="33" ht="15.75" customHeight="1">
      <c r="E33" s="2" t="str">
        <f>IF(B33=0, Summary!B20, IF(B33=1, Summary!B21, IF(B33=2, Summary!B22, IF(B33=3, Summary!B23, ""))))</f>
        <v/>
      </c>
      <c r="F33" s="2">
        <f>IF(C33&gt;0, Summary!B36 * C33 / IF(Summary!B37=0, 1, Summary!B37), 0)</f>
        <v>0</v>
      </c>
      <c r="G33" s="2" t="str">
        <f t="shared" si="1"/>
        <v/>
      </c>
    </row>
    <row r="34" ht="15.75" customHeight="1">
      <c r="E34" s="2" t="str">
        <f>IF(B34=0, Summary!B20, IF(B34=1, Summary!B21, IF(B34=2, Summary!B22, IF(B34=3, Summary!B23, ""))))</f>
        <v/>
      </c>
      <c r="F34" s="2">
        <f>IF(C34&gt;0, Summary!B36 * C34 / IF(Summary!B37=0, 1, Summary!B37), 0)</f>
        <v>0</v>
      </c>
      <c r="G34" s="2" t="str">
        <f t="shared" si="1"/>
        <v/>
      </c>
    </row>
    <row r="35" ht="15.75" customHeight="1">
      <c r="E35" s="2" t="str">
        <f>IF(B35=0, Summary!B20, IF(B35=1, Summary!B21, IF(B35=2, Summary!B22, IF(B35=3, Summary!B23, ""))))</f>
        <v/>
      </c>
      <c r="F35" s="2">
        <f>IF(C35&gt;0, Summary!B36 * C35 / IF(Summary!B37=0, 1, Summary!B37), 0)</f>
        <v>0</v>
      </c>
      <c r="G35" s="2" t="str">
        <f t="shared" si="1"/>
        <v/>
      </c>
    </row>
    <row r="36" ht="15.75" customHeight="1">
      <c r="E36" s="2" t="str">
        <f>IF(B36=0, Summary!B20, IF(B36=1, Summary!B21, IF(B36=2, Summary!B22, IF(B36=3, Summary!B23, ""))))</f>
        <v/>
      </c>
      <c r="F36" s="2">
        <f>IF(C36&gt;0, Summary!B36 * C36 / IF(Summary!B37=0, 1, Summary!B37), 0)</f>
        <v>0</v>
      </c>
      <c r="G36" s="2" t="str">
        <f t="shared" si="1"/>
        <v/>
      </c>
    </row>
    <row r="37" ht="15.75" customHeight="1">
      <c r="E37" s="2" t="str">
        <f>IF(B37=0, Summary!B20, IF(B37=1, Summary!B21, IF(B37=2, Summary!B22, IF(B37=3, Summary!B23, ""))))</f>
        <v/>
      </c>
      <c r="F37" s="2">
        <f>IF(C37&gt;0, Summary!B36 * C37 / IF(Summary!B37=0, 1, Summary!B37), 0)</f>
        <v>0</v>
      </c>
      <c r="G37" s="2" t="str">
        <f t="shared" si="1"/>
        <v/>
      </c>
    </row>
    <row r="38" ht="15.75" customHeight="1">
      <c r="E38" s="2" t="str">
        <f>IF(B38=0, Summary!B20, IF(B38=1, Summary!B21, IF(B38=2, Summary!B22, IF(B38=3, Summary!B23, ""))))</f>
        <v/>
      </c>
      <c r="F38" s="2">
        <f>IF(C38&gt;0, Summary!B36 * C38 / IF(Summary!B37=0, 1, Summary!B37), 0)</f>
        <v>0</v>
      </c>
      <c r="G38" s="2" t="str">
        <f t="shared" si="1"/>
        <v/>
      </c>
    </row>
    <row r="39" ht="15.75" customHeight="1">
      <c r="E39" s="2" t="str">
        <f>IF(B39=0, Summary!B20, IF(B39=1, Summary!B21, IF(B39=2, Summary!B22, IF(B39=3, Summary!B23, ""))))</f>
        <v/>
      </c>
      <c r="F39" s="2">
        <f>IF(C39&gt;0, Summary!B36 * C39 / IF(Summary!B37=0, 1, Summary!B37), 0)</f>
        <v>0</v>
      </c>
      <c r="G39" s="2" t="str">
        <f t="shared" si="1"/>
        <v/>
      </c>
    </row>
    <row r="40" ht="15.75" customHeight="1">
      <c r="E40" s="2" t="str">
        <f>IF(B40=0, Summary!B20, IF(B40=1, Summary!B21, IF(B40=2, Summary!B22, IF(B40=3, Summary!B23, ""))))</f>
        <v/>
      </c>
      <c r="F40" s="2">
        <f>IF(C40&gt;0, Summary!B36 * C40 / IF(Summary!B37=0, 1, Summary!B37), 0)</f>
        <v>0</v>
      </c>
      <c r="G40" s="2" t="str">
        <f t="shared" si="1"/>
        <v/>
      </c>
    </row>
    <row r="41" ht="15.75" customHeight="1">
      <c r="E41" s="2" t="str">
        <f>IF(B41=0, Summary!B20, IF(B41=1, Summary!B21, IF(B41=2, Summary!B22, IF(B41=3, Summary!B23, ""))))</f>
        <v/>
      </c>
      <c r="F41" s="2">
        <f>IF(C41&gt;0, Summary!B36 * C41 / IF(Summary!B37=0, 1, Summary!B37), 0)</f>
        <v>0</v>
      </c>
      <c r="G41" s="2" t="str">
        <f t="shared" si="1"/>
        <v/>
      </c>
    </row>
    <row r="42" ht="15.75" customHeight="1">
      <c r="E42" s="2" t="str">
        <f>IF(B42=0, Summary!B20, IF(B42=1, Summary!B21, IF(B42=2, Summary!B22, IF(B42=3, Summary!B23, ""))))</f>
        <v/>
      </c>
      <c r="F42" s="2">
        <f>IF(C42&gt;0, Summary!B36 * C42 / IF(Summary!B37=0, 1, Summary!B37), 0)</f>
        <v>0</v>
      </c>
      <c r="G42" s="2" t="str">
        <f t="shared" si="1"/>
        <v/>
      </c>
    </row>
    <row r="43" ht="15.75" customHeight="1">
      <c r="E43" s="2" t="str">
        <f>IF(B43=0, Summary!B20, IF(B43=1, Summary!B21, IF(B43=2, Summary!B22, IF(B43=3, Summary!B23, ""))))</f>
        <v/>
      </c>
      <c r="F43" s="2">
        <f>IF(C43&gt;0, Summary!B36 * C43 / IF(Summary!B37=0, 1, Summary!B37), 0)</f>
        <v>0</v>
      </c>
      <c r="G43" s="2" t="str">
        <f t="shared" si="1"/>
        <v/>
      </c>
    </row>
    <row r="44" ht="15.75" customHeight="1">
      <c r="E44" s="2" t="str">
        <f>IF(B44=0, Summary!B20, IF(B44=1, Summary!B21, IF(B44=2, Summary!B22, IF(B44=3, Summary!B23, ""))))</f>
        <v/>
      </c>
      <c r="F44" s="2">
        <f>IF(C44&gt;0, Summary!B36 * C44 / IF(Summary!B37=0, 1, Summary!B37), 0)</f>
        <v>0</v>
      </c>
      <c r="G44" s="2" t="str">
        <f t="shared" si="1"/>
        <v/>
      </c>
    </row>
    <row r="45" ht="15.75" customHeight="1">
      <c r="E45" s="2" t="str">
        <f>IF(B45=0, Summary!B20, IF(B45=1, Summary!B21, IF(B45=2, Summary!B22, IF(B45=3, Summary!B23, ""))))</f>
        <v/>
      </c>
      <c r="F45" s="2">
        <f>IF(C45&gt;0, Summary!B36 * C45 / IF(Summary!B37=0, 1, Summary!B37), 0)</f>
        <v>0</v>
      </c>
      <c r="G45" s="2" t="str">
        <f t="shared" si="1"/>
        <v/>
      </c>
    </row>
    <row r="46" ht="15.75" customHeight="1">
      <c r="E46" s="2" t="str">
        <f>IF(B46=0, Summary!B20, IF(B46=1, Summary!B21, IF(B46=2, Summary!B22, IF(B46=3, Summary!B23, ""))))</f>
        <v/>
      </c>
      <c r="F46" s="2">
        <f>IF(C46&gt;0, Summary!B36 * C46 / IF(Summary!B37=0, 1, Summary!B37), 0)</f>
        <v>0</v>
      </c>
      <c r="G46" s="2" t="str">
        <f t="shared" si="1"/>
        <v/>
      </c>
    </row>
    <row r="47" ht="15.75" customHeight="1">
      <c r="E47" s="2" t="str">
        <f>IF(B47=0, Summary!B20, IF(B47=1, Summary!B21, IF(B47=2, Summary!B22, IF(B47=3, Summary!B23, ""))))</f>
        <v/>
      </c>
      <c r="F47" s="2">
        <f>IF(C47&gt;0, Summary!B36 * C47 / IF(Summary!B37=0, 1, Summary!B37), 0)</f>
        <v>0</v>
      </c>
      <c r="G47" s="2" t="str">
        <f t="shared" si="1"/>
        <v/>
      </c>
    </row>
    <row r="48" ht="15.75" customHeight="1">
      <c r="E48" s="2" t="str">
        <f>IF(B48=0, Summary!B20, IF(B48=1, Summary!B21, IF(B48=2, Summary!B22, IF(B48=3, Summary!B23, ""))))</f>
        <v/>
      </c>
      <c r="F48" s="2">
        <f>IF(C48&gt;0, Summary!B36 * C48 / IF(Summary!B37=0, 1, Summary!B37), 0)</f>
        <v>0</v>
      </c>
      <c r="G48" s="2" t="str">
        <f t="shared" si="1"/>
        <v/>
      </c>
    </row>
    <row r="49" ht="15.75" customHeight="1">
      <c r="E49" s="2" t="str">
        <f>IF(B49=0, Summary!B20, IF(B49=1, Summary!B21, IF(B49=2, Summary!B22, IF(B49=3, Summary!B23, ""))))</f>
        <v/>
      </c>
      <c r="F49" s="2">
        <f>IF(C49&gt;0, Summary!B36 * C49 / IF(Summary!B37=0, 1, Summary!B37), 0)</f>
        <v>0</v>
      </c>
      <c r="G49" s="2" t="str">
        <f t="shared" si="1"/>
        <v/>
      </c>
    </row>
    <row r="50" ht="15.75" customHeight="1">
      <c r="E50" s="2" t="str">
        <f>IF(B50=0, Summary!B20, IF(B50=1, Summary!B21, IF(B50=2, Summary!B22, IF(B50=3, Summary!B23, ""))))</f>
        <v/>
      </c>
      <c r="F50" s="2">
        <f>IF(C50&gt;0, Summary!B36 * C50 / IF(Summary!B37=0, 1, Summary!B37), 0)</f>
        <v>0</v>
      </c>
      <c r="G50" s="2" t="str">
        <f t="shared" si="1"/>
        <v/>
      </c>
    </row>
    <row r="51" ht="15.75" customHeight="1">
      <c r="E51" s="2" t="str">
        <f>IF(B51=0, Summary!B20, IF(B51=1, Summary!B21, IF(B51=2, Summary!B22, IF(B51=3, Summary!B23, ""))))</f>
        <v/>
      </c>
      <c r="F51" s="2">
        <f>IF(C51&gt;0, Summary!B36 * C51 / IF(Summary!B37=0, 1, Summary!B37), 0)</f>
        <v>0</v>
      </c>
      <c r="G51" s="2" t="str">
        <f t="shared" si="1"/>
        <v/>
      </c>
    </row>
    <row r="52" ht="15.75" customHeight="1">
      <c r="E52" s="2" t="str">
        <f>IF(B52=0, Summary!B20, IF(B52=1, Summary!B21, IF(B52=2, Summary!B22, IF(B52=3, Summary!B23, ""))))</f>
        <v/>
      </c>
      <c r="F52" s="2">
        <f>IF(C52&gt;0, Summary!B36 * C52 / IF(Summary!B37=0, 1, Summary!B37), 0)</f>
        <v>0</v>
      </c>
      <c r="G52" s="2" t="str">
        <f t="shared" si="1"/>
        <v/>
      </c>
    </row>
    <row r="53" ht="15.75" customHeight="1">
      <c r="E53" s="2" t="str">
        <f>IF(B53=0, Summary!B20, IF(B53=1, Summary!B21, IF(B53=2, Summary!B22, IF(B53=3, Summary!B23, ""))))</f>
        <v/>
      </c>
      <c r="F53" s="2">
        <f>IF(C53&gt;0, Summary!B36 * C53 / IF(Summary!B37=0, 1, Summary!B37), 0)</f>
        <v>0</v>
      </c>
      <c r="G53" s="2" t="str">
        <f t="shared" si="1"/>
        <v/>
      </c>
    </row>
    <row r="54" ht="15.75" customHeight="1">
      <c r="E54" s="2" t="str">
        <f>IF(B54=0, Summary!B20, IF(B54=1, Summary!B21, IF(B54=2, Summary!B22, IF(B54=3, Summary!B23, ""))))</f>
        <v/>
      </c>
      <c r="F54" s="2">
        <f>IF(C54&gt;0, Summary!B36 * C54 / IF(Summary!B37=0, 1, Summary!B37), 0)</f>
        <v>0</v>
      </c>
      <c r="G54" s="2" t="str">
        <f t="shared" si="1"/>
        <v/>
      </c>
    </row>
    <row r="55" ht="15.75" customHeight="1">
      <c r="E55" s="2" t="str">
        <f>IF(B55=0, Summary!B20, IF(B55=1, Summary!B21, IF(B55=2, Summary!B22, IF(B55=3, Summary!B23, ""))))</f>
        <v/>
      </c>
      <c r="F55" s="2">
        <f>IF(C55&gt;0, Summary!B36 * C55 / IF(Summary!B37=0, 1, Summary!B37), 0)</f>
        <v>0</v>
      </c>
      <c r="G55" s="2" t="str">
        <f t="shared" si="1"/>
        <v/>
      </c>
    </row>
    <row r="56" ht="15.75" customHeight="1">
      <c r="E56" s="2" t="str">
        <f>IF(B56=0, Summary!B20, IF(B56=1, Summary!B21, IF(B56=2, Summary!B22, IF(B56=3, Summary!B23, ""))))</f>
        <v/>
      </c>
      <c r="F56" s="2">
        <f>IF(C56&gt;0, Summary!B36 * C56 / IF(Summary!B37=0, 1, Summary!B37), 0)</f>
        <v>0</v>
      </c>
      <c r="G56" s="2" t="str">
        <f t="shared" si="1"/>
        <v/>
      </c>
    </row>
    <row r="57" ht="15.75" customHeight="1">
      <c r="E57" s="2" t="str">
        <f>IF(B57=0, Summary!B20, IF(B57=1, Summary!B21, IF(B57=2, Summary!B22, IF(B57=3, Summary!B23, ""))))</f>
        <v/>
      </c>
      <c r="F57" s="2">
        <f>IF(C57&gt;0, Summary!B36 * C57 / IF(Summary!B37=0, 1, Summary!B37), 0)</f>
        <v>0</v>
      </c>
      <c r="G57" s="2" t="str">
        <f t="shared" si="1"/>
        <v/>
      </c>
    </row>
    <row r="58" ht="15.75" customHeight="1">
      <c r="E58" s="2" t="str">
        <f>IF(B58=0, Summary!B20, IF(B58=1, Summary!B21, IF(B58=2, Summary!B22, IF(B58=3, Summary!B23, ""))))</f>
        <v/>
      </c>
      <c r="F58" s="2">
        <f>IF(C58&gt;0, Summary!B36 * C58 / IF(Summary!B37=0, 1, Summary!B37), 0)</f>
        <v>0</v>
      </c>
      <c r="G58" s="2" t="str">
        <f t="shared" si="1"/>
        <v/>
      </c>
    </row>
    <row r="59" ht="15.75" customHeight="1">
      <c r="E59" s="2" t="str">
        <f>IF(B59=0, Summary!B20, IF(B59=1, Summary!B21, IF(B59=2, Summary!B22, IF(B59=3, Summary!B23, ""))))</f>
        <v/>
      </c>
      <c r="F59" s="2">
        <f>IF(C59&gt;0, Summary!B36 * C59 / IF(Summary!B37=0, 1, Summary!B37), 0)</f>
        <v>0</v>
      </c>
      <c r="G59" s="2" t="str">
        <f t="shared" si="1"/>
        <v/>
      </c>
    </row>
    <row r="60" ht="15.75" customHeight="1">
      <c r="E60" s="2" t="str">
        <f>IF(B60=0, Summary!B20, IF(B60=1, Summary!B21, IF(B60=2, Summary!B22, IF(B60=3, Summary!B23, ""))))</f>
        <v/>
      </c>
      <c r="F60" s="2">
        <f>IF(C60&gt;0, Summary!B36 * C60 / IF(Summary!B37=0, 1, Summary!B37), 0)</f>
        <v>0</v>
      </c>
      <c r="G60" s="2" t="str">
        <f t="shared" si="1"/>
        <v/>
      </c>
    </row>
    <row r="61" ht="15.75" customHeight="1">
      <c r="E61" s="2" t="str">
        <f>IF(B61=0, Summary!B20, IF(B61=1, Summary!B21, IF(B61=2, Summary!B22, IF(B61=3, Summary!B23, ""))))</f>
        <v/>
      </c>
      <c r="F61" s="2">
        <f>IF(C61&gt;0, Summary!B36 * C61 / IF(Summary!B37=0, 1, Summary!B37), 0)</f>
        <v>0</v>
      </c>
      <c r="G61" s="2" t="str">
        <f t="shared" si="1"/>
        <v/>
      </c>
    </row>
    <row r="62" ht="15.75" customHeight="1">
      <c r="E62" s="2" t="str">
        <f>IF(B62=0, Summary!B20, IF(B62=1, Summary!B21, IF(B62=2, Summary!B22, IF(B62=3, Summary!B23, ""))))</f>
        <v/>
      </c>
      <c r="F62" s="2">
        <f>IF(C62&gt;0, Summary!B36 * C62 / IF(Summary!B37=0, 1, Summary!B37), 0)</f>
        <v>0</v>
      </c>
      <c r="G62" s="2" t="str">
        <f t="shared" si="1"/>
        <v/>
      </c>
    </row>
    <row r="63" ht="15.75" customHeight="1">
      <c r="E63" s="2" t="str">
        <f>IF(B63=0, Summary!B20, IF(B63=1, Summary!B21, IF(B63=2, Summary!B22, IF(B63=3, Summary!B23, ""))))</f>
        <v/>
      </c>
      <c r="F63" s="2">
        <f>IF(C63&gt;0, Summary!B36 * C63 / IF(Summary!B37=0, 1, Summary!B37), 0)</f>
        <v>0</v>
      </c>
      <c r="G63" s="2" t="str">
        <f t="shared" si="1"/>
        <v/>
      </c>
    </row>
    <row r="64" ht="15.75" customHeight="1">
      <c r="E64" s="2" t="str">
        <f>IF(B64=0, Summary!B20, IF(B64=1, Summary!B21, IF(B64=2, Summary!B22, IF(B64=3, Summary!B23, ""))))</f>
        <v/>
      </c>
      <c r="F64" s="2">
        <f>IF(C64&gt;0, Summary!B36 * C64 / IF(Summary!B37=0, 1, Summary!B37), 0)</f>
        <v>0</v>
      </c>
      <c r="G64" s="2" t="str">
        <f t="shared" si="1"/>
        <v/>
      </c>
    </row>
    <row r="65" ht="15.75" customHeight="1">
      <c r="E65" s="2" t="str">
        <f>IF(B65=0, Summary!B20, IF(B65=1, Summary!B21, IF(B65=2, Summary!B22, IF(B65=3, Summary!B23, ""))))</f>
        <v/>
      </c>
      <c r="F65" s="2">
        <f>IF(C65&gt;0, Summary!B36 * C65 / IF(Summary!B37=0, 1, Summary!B37), 0)</f>
        <v>0</v>
      </c>
      <c r="G65" s="2" t="str">
        <f t="shared" si="1"/>
        <v/>
      </c>
    </row>
    <row r="66" ht="15.75" customHeight="1">
      <c r="E66" s="2" t="str">
        <f>IF(B66=0, Summary!B20, IF(B66=1, Summary!B21, IF(B66=2, Summary!B22, IF(B66=3, Summary!B23, ""))))</f>
        <v/>
      </c>
      <c r="F66" s="2">
        <f>IF(C66&gt;0, Summary!B36 * C66 / IF(Summary!B37=0, 1, Summary!B37), 0)</f>
        <v>0</v>
      </c>
      <c r="G66" s="2" t="str">
        <f t="shared" si="1"/>
        <v/>
      </c>
    </row>
    <row r="67" ht="15.75" customHeight="1">
      <c r="E67" s="2" t="str">
        <f>IF(B67=0, Summary!B20, IF(B67=1, Summary!B21, IF(B67=2, Summary!B22, IF(B67=3, Summary!B23, ""))))</f>
        <v/>
      </c>
      <c r="F67" s="2">
        <f>IF(C67&gt;0, Summary!B36 * C67 / IF(Summary!B37=0, 1, Summary!B37), 0)</f>
        <v>0</v>
      </c>
      <c r="G67" s="2" t="str">
        <f t="shared" si="1"/>
        <v/>
      </c>
    </row>
    <row r="68" ht="15.75" customHeight="1">
      <c r="E68" s="2" t="str">
        <f>IF(B68=0, Summary!B20, IF(B68=1, Summary!B21, IF(B68=2, Summary!B22, IF(B68=3, Summary!B23, ""))))</f>
        <v/>
      </c>
      <c r="F68" s="2">
        <f>IF(C68&gt;0, Summary!B36 * C68 / IF(Summary!B37=0, 1, Summary!B37), 0)</f>
        <v>0</v>
      </c>
      <c r="G68" s="2" t="str">
        <f t="shared" si="1"/>
        <v/>
      </c>
    </row>
    <row r="69" ht="15.75" customHeight="1">
      <c r="E69" s="2" t="str">
        <f>IF(B69=0, Summary!B20, IF(B69=1, Summary!B21, IF(B69=2, Summary!B22, IF(B69=3, Summary!B23, ""))))</f>
        <v/>
      </c>
      <c r="F69" s="2">
        <f>IF(C69&gt;0, Summary!B36 * C69 / IF(Summary!B37=0, 1, Summary!B37), 0)</f>
        <v>0</v>
      </c>
      <c r="G69" s="2" t="str">
        <f t="shared" si="1"/>
        <v/>
      </c>
    </row>
    <row r="70" ht="15.75" customHeight="1">
      <c r="E70" s="2" t="str">
        <f>IF(B70=0, Summary!B20, IF(B70=1, Summary!B21, IF(B70=2, Summary!B22, IF(B70=3, Summary!B23, ""))))</f>
        <v/>
      </c>
      <c r="F70" s="2">
        <f>IF(C70&gt;0, Summary!B36 * C70 / IF(Summary!B37=0, 1, Summary!B37), 0)</f>
        <v>0</v>
      </c>
      <c r="G70" s="2" t="str">
        <f t="shared" si="1"/>
        <v/>
      </c>
    </row>
    <row r="71" ht="15.75" customHeight="1">
      <c r="E71" s="2" t="str">
        <f>IF(B71=0, Summary!B20, IF(B71=1, Summary!B21, IF(B71=2, Summary!B22, IF(B71=3, Summary!B23, ""))))</f>
        <v/>
      </c>
      <c r="F71" s="2">
        <f>IF(C71&gt;0, Summary!B36 * C71 / IF(Summary!B37=0, 1, Summary!B37), 0)</f>
        <v>0</v>
      </c>
      <c r="G71" s="2" t="str">
        <f t="shared" si="1"/>
        <v/>
      </c>
    </row>
    <row r="72" ht="15.75" customHeight="1">
      <c r="E72" s="2" t="str">
        <f>IF(B72=0, Summary!B20, IF(B72=1, Summary!B21, IF(B72=2, Summary!B22, IF(B72=3, Summary!B23, ""))))</f>
        <v/>
      </c>
      <c r="F72" s="2">
        <f>IF(C72&gt;0, Summary!B36 * C72 / IF(Summary!B37=0, 1, Summary!B37), 0)</f>
        <v>0</v>
      </c>
      <c r="G72" s="2" t="str">
        <f t="shared" si="1"/>
        <v/>
      </c>
    </row>
    <row r="73" ht="15.75" customHeight="1">
      <c r="E73" s="2" t="str">
        <f>IF(B73=0, Summary!B20, IF(B73=1, Summary!B21, IF(B73=2, Summary!B22, IF(B73=3, Summary!B23, ""))))</f>
        <v/>
      </c>
      <c r="F73" s="2">
        <f>IF(C73&gt;0, Summary!B36 * C73 / IF(Summary!B37=0, 1, Summary!B37), 0)</f>
        <v>0</v>
      </c>
      <c r="G73" s="2" t="str">
        <f t="shared" si="1"/>
        <v/>
      </c>
    </row>
    <row r="74" ht="15.75" customHeight="1">
      <c r="E74" s="2" t="str">
        <f>IF(B74=0, Summary!B20, IF(B74=1, Summary!B21, IF(B74=2, Summary!B22, IF(B74=3, Summary!B23, ""))))</f>
        <v/>
      </c>
      <c r="F74" s="2">
        <f>IF(C74&gt;0, Summary!B36 * C74 / IF(Summary!B37=0, 1, Summary!B37), 0)</f>
        <v>0</v>
      </c>
      <c r="G74" s="2" t="str">
        <f t="shared" si="1"/>
        <v/>
      </c>
    </row>
    <row r="75" ht="15.75" customHeight="1">
      <c r="E75" s="2" t="str">
        <f>IF(B75=0, Summary!B20, IF(B75=1, Summary!B21, IF(B75=2, Summary!B22, IF(B75=3, Summary!B23, ""))))</f>
        <v/>
      </c>
      <c r="F75" s="2">
        <f>IF(C75&gt;0, Summary!B36 * C75 / IF(Summary!B37=0, 1, Summary!B37), 0)</f>
        <v>0</v>
      </c>
      <c r="G75" s="2" t="str">
        <f t="shared" si="1"/>
        <v/>
      </c>
    </row>
    <row r="76" ht="15.75" customHeight="1">
      <c r="E76" s="2" t="str">
        <f>IF(B76=0, Summary!B20, IF(B76=1, Summary!B21, IF(B76=2, Summary!B22, IF(B76=3, Summary!B23, ""))))</f>
        <v/>
      </c>
      <c r="F76" s="2">
        <f>IF(C76&gt;0, Summary!B36 * C76 / IF(Summary!B37=0, 1, Summary!B37), 0)</f>
        <v>0</v>
      </c>
      <c r="G76" s="2" t="str">
        <f t="shared" si="1"/>
        <v/>
      </c>
    </row>
    <row r="77" ht="15.75" customHeight="1">
      <c r="E77" s="2" t="str">
        <f>IF(B77=0, Summary!B20, IF(B77=1, Summary!B21, IF(B77=2, Summary!B22, IF(B77=3, Summary!B23, ""))))</f>
        <v/>
      </c>
      <c r="F77" s="2">
        <f>IF(C77&gt;0, Summary!B36 * C77 / IF(Summary!B37=0, 1, Summary!B37), 0)</f>
        <v>0</v>
      </c>
      <c r="G77" s="2" t="str">
        <f t="shared" si="1"/>
        <v/>
      </c>
    </row>
    <row r="78" ht="15.75" customHeight="1">
      <c r="E78" s="2" t="str">
        <f>IF(B78=0, Summary!B20, IF(B78=1, Summary!B21, IF(B78=2, Summary!B22, IF(B78=3, Summary!B23, ""))))</f>
        <v/>
      </c>
      <c r="F78" s="2">
        <f>IF(C78&gt;0, Summary!B36 * C78 / IF(Summary!B37=0, 1, Summary!B37), 0)</f>
        <v>0</v>
      </c>
      <c r="G78" s="2" t="str">
        <f t="shared" si="1"/>
        <v/>
      </c>
    </row>
    <row r="79" ht="15.75" customHeight="1">
      <c r="E79" s="2" t="str">
        <f>IF(B79=0, Summary!B20, IF(B79=1, Summary!B21, IF(B79=2, Summary!B22, IF(B79=3, Summary!B23, ""))))</f>
        <v/>
      </c>
      <c r="F79" s="2">
        <f>IF(C79&gt;0, Summary!B36 * C79 / IF(Summary!B37=0, 1, Summary!B37), 0)</f>
        <v>0</v>
      </c>
      <c r="G79" s="2" t="str">
        <f t="shared" si="1"/>
        <v/>
      </c>
    </row>
    <row r="80" ht="15.75" customHeight="1">
      <c r="E80" s="2" t="str">
        <f>IF(B80=0, Summary!B20, IF(B80=1, Summary!B21, IF(B80=2, Summary!B22, IF(B80=3, Summary!B23, ""))))</f>
        <v/>
      </c>
      <c r="F80" s="2">
        <f>IF(C80&gt;0, Summary!B36 * C80 / IF(Summary!B37=0, 1, Summary!B37), 0)</f>
        <v>0</v>
      </c>
      <c r="G80" s="2" t="str">
        <f t="shared" si="1"/>
        <v/>
      </c>
    </row>
    <row r="81" ht="15.75" customHeight="1">
      <c r="E81" s="2" t="str">
        <f>IF(B81=0, Summary!B20, IF(B81=1, Summary!B21, IF(B81=2, Summary!B22, IF(B81=3, Summary!B23, ""))))</f>
        <v/>
      </c>
      <c r="F81" s="2">
        <f>IF(C81&gt;0, Summary!B36 * C81 / IF(Summary!B37=0, 1, Summary!B37), 0)</f>
        <v>0</v>
      </c>
      <c r="G81" s="2" t="str">
        <f t="shared" si="1"/>
        <v/>
      </c>
    </row>
    <row r="82" ht="15.75" customHeight="1">
      <c r="E82" s="2" t="str">
        <f>IF(B82=0, Summary!B20, IF(B82=1, Summary!B21, IF(B82=2, Summary!B22, IF(B82=3, Summary!B23, ""))))</f>
        <v/>
      </c>
      <c r="F82" s="2">
        <f>IF(C82&gt;0, Summary!B36 * C82 / IF(Summary!B37=0, 1, Summary!B37), 0)</f>
        <v>0</v>
      </c>
      <c r="G82" s="2" t="str">
        <f t="shared" si="1"/>
        <v/>
      </c>
    </row>
    <row r="83" ht="15.75" customHeight="1">
      <c r="E83" s="2" t="str">
        <f>IF(B83=0, Summary!B20, IF(B83=1, Summary!B21, IF(B83=2, Summary!B22, IF(B83=3, Summary!B23, ""))))</f>
        <v/>
      </c>
      <c r="F83" s="2">
        <f>IF(C83&gt;0, Summary!B36 * C83 / IF(Summary!B37=0, 1, Summary!B37), 0)</f>
        <v>0</v>
      </c>
      <c r="G83" s="2" t="str">
        <f t="shared" si="1"/>
        <v/>
      </c>
    </row>
    <row r="84" ht="15.75" customHeight="1">
      <c r="E84" s="2" t="str">
        <f>IF(B84=0, Summary!B20, IF(B84=1, Summary!B21, IF(B84=2, Summary!B22, IF(B84=3, Summary!B23, ""))))</f>
        <v/>
      </c>
      <c r="F84" s="2">
        <f>IF(C84&gt;0, Summary!B36 * C84 / IF(Summary!B37=0, 1, Summary!B37), 0)</f>
        <v>0</v>
      </c>
      <c r="G84" s="2" t="str">
        <f t="shared" si="1"/>
        <v/>
      </c>
    </row>
    <row r="85" ht="15.75" customHeight="1">
      <c r="E85" s="2" t="str">
        <f>IF(B85=0, Summary!B20, IF(B85=1, Summary!B21, IF(B85=2, Summary!B22, IF(B85=3, Summary!B23, ""))))</f>
        <v/>
      </c>
      <c r="F85" s="2">
        <f>IF(C85&gt;0, Summary!B36 * C85 / IF(Summary!B37=0, 1, Summary!B37), 0)</f>
        <v>0</v>
      </c>
      <c r="G85" s="2" t="str">
        <f t="shared" si="1"/>
        <v/>
      </c>
    </row>
    <row r="86" ht="15.75" customHeight="1">
      <c r="E86" s="2" t="str">
        <f>IF(B86=0, Summary!B20, IF(B86=1, Summary!B21, IF(B86=2, Summary!B22, IF(B86=3, Summary!B23, ""))))</f>
        <v/>
      </c>
      <c r="F86" s="2">
        <f>IF(C86&gt;0, Summary!B36 * C86 / IF(Summary!B37=0, 1, Summary!B37), 0)</f>
        <v>0</v>
      </c>
      <c r="G86" s="2" t="str">
        <f t="shared" si="1"/>
        <v/>
      </c>
    </row>
    <row r="87" ht="15.75" customHeight="1">
      <c r="E87" s="2" t="str">
        <f>IF(B87=0, Summary!B20, IF(B87=1, Summary!B21, IF(B87=2, Summary!B22, IF(B87=3, Summary!B23, ""))))</f>
        <v/>
      </c>
      <c r="F87" s="2">
        <f>IF(C87&gt;0, Summary!B36 * C87 / IF(Summary!B37=0, 1, Summary!B37), 0)</f>
        <v>0</v>
      </c>
      <c r="G87" s="2" t="str">
        <f t="shared" si="1"/>
        <v/>
      </c>
    </row>
    <row r="88" ht="15.75" customHeight="1">
      <c r="E88" s="2" t="str">
        <f>IF(B88=0, Summary!B20, IF(B88=1, Summary!B21, IF(B88=2, Summary!B22, IF(B88=3, Summary!B23, ""))))</f>
        <v/>
      </c>
      <c r="F88" s="2">
        <f>IF(C88&gt;0, Summary!B36 * C88 / IF(Summary!B37=0, 1, Summary!B37), 0)</f>
        <v>0</v>
      </c>
      <c r="G88" s="2" t="str">
        <f t="shared" si="1"/>
        <v/>
      </c>
    </row>
    <row r="89" ht="15.75" customHeight="1">
      <c r="E89" s="2" t="str">
        <f>IF(B89=0, Summary!B20, IF(B89=1, Summary!B21, IF(B89=2, Summary!B22, IF(B89=3, Summary!B23, ""))))</f>
        <v/>
      </c>
      <c r="F89" s="2">
        <f>IF(C89&gt;0, Summary!B36 * C89 / IF(Summary!B37=0, 1, Summary!B37), 0)</f>
        <v>0</v>
      </c>
      <c r="G89" s="2" t="str">
        <f t="shared" si="1"/>
        <v/>
      </c>
    </row>
    <row r="90" ht="15.75" customHeight="1">
      <c r="E90" s="2" t="str">
        <f>IF(B90=0, Summary!B20, IF(B90=1, Summary!B21, IF(B90=2, Summary!B22, IF(B90=3, Summary!B23, ""))))</f>
        <v/>
      </c>
      <c r="F90" s="2">
        <f>IF(C90&gt;0, Summary!B36 * C90 / IF(Summary!B37=0, 1, Summary!B37), 0)</f>
        <v>0</v>
      </c>
      <c r="G90" s="2" t="str">
        <f t="shared" si="1"/>
        <v/>
      </c>
    </row>
    <row r="91" ht="15.75" customHeight="1">
      <c r="E91" s="2" t="str">
        <f>IF(B91=0, Summary!B20, IF(B91=1, Summary!B21, IF(B91=2, Summary!B22, IF(B91=3, Summary!B23, ""))))</f>
        <v/>
      </c>
      <c r="F91" s="2">
        <f>IF(C91&gt;0, Summary!B36 * C91 / IF(Summary!B37=0, 1, Summary!B37), 0)</f>
        <v>0</v>
      </c>
      <c r="G91" s="2" t="str">
        <f t="shared" si="1"/>
        <v/>
      </c>
    </row>
    <row r="92" ht="15.75" customHeight="1">
      <c r="E92" s="2" t="str">
        <f>IF(B92=0, Summary!B20, IF(B92=1, Summary!B21, IF(B92=2, Summary!B22, IF(B92=3, Summary!B23, ""))))</f>
        <v/>
      </c>
      <c r="F92" s="2">
        <f>IF(C92&gt;0, Summary!B36 * C92 / IF(Summary!B37=0, 1, Summary!B37), 0)</f>
        <v>0</v>
      </c>
      <c r="G92" s="2" t="str">
        <f t="shared" si="1"/>
        <v/>
      </c>
    </row>
    <row r="93" ht="15.75" customHeight="1">
      <c r="E93" s="2" t="str">
        <f>IF(B93=0, Summary!B20, IF(B93=1, Summary!B21, IF(B93=2, Summary!B22, IF(B93=3, Summary!B23, ""))))</f>
        <v/>
      </c>
      <c r="F93" s="2">
        <f>IF(C93&gt;0, Summary!B36 * C93 / IF(Summary!B37=0, 1, Summary!B37), 0)</f>
        <v>0</v>
      </c>
      <c r="G93" s="2" t="str">
        <f t="shared" si="1"/>
        <v/>
      </c>
    </row>
    <row r="94" ht="15.75" customHeight="1">
      <c r="E94" s="2" t="str">
        <f>IF(B94=0, Summary!B20, IF(B94=1, Summary!B21, IF(B94=2, Summary!B22, IF(B94=3, Summary!B23, ""))))</f>
        <v/>
      </c>
      <c r="F94" s="2">
        <f>IF(C94&gt;0, Summary!B36 * C94 / IF(Summary!B37=0, 1, Summary!B37), 0)</f>
        <v>0</v>
      </c>
      <c r="G94" s="2" t="str">
        <f t="shared" si="1"/>
        <v/>
      </c>
    </row>
    <row r="95" ht="15.75" customHeight="1">
      <c r="E95" s="2" t="str">
        <f>IF(B95=0, Summary!B20, IF(B95=1, Summary!B21, IF(B95=2, Summary!B22, IF(B95=3, Summary!B23, ""))))</f>
        <v/>
      </c>
      <c r="F95" s="2">
        <f>IF(C95&gt;0, Summary!B36 * C95 / IF(Summary!B37=0, 1, Summary!B37), 0)</f>
        <v>0</v>
      </c>
      <c r="G95" s="2" t="str">
        <f t="shared" si="1"/>
        <v/>
      </c>
    </row>
    <row r="96" ht="15.75" customHeight="1">
      <c r="E96" s="2" t="str">
        <f>IF(B96=0, Summary!B20, IF(B96=1, Summary!B21, IF(B96=2, Summary!B22, IF(B96=3, Summary!B23, ""))))</f>
        <v/>
      </c>
      <c r="F96" s="2">
        <f>IF(C96&gt;0, Summary!B36 * C96 / IF(Summary!B37=0, 1, Summary!B37), 0)</f>
        <v>0</v>
      </c>
      <c r="G96" s="2" t="str">
        <f t="shared" si="1"/>
        <v/>
      </c>
    </row>
    <row r="97" ht="15.75" customHeight="1">
      <c r="E97" s="2" t="str">
        <f>IF(B97=0, Summary!B20, IF(B97=1, Summary!B21, IF(B97=2, Summary!B22, IF(B97=3, Summary!B23, ""))))</f>
        <v/>
      </c>
      <c r="F97" s="2">
        <f>IF(C97&gt;0, Summary!B36 * C97 / IF(Summary!B37=0, 1, Summary!B37), 0)</f>
        <v>0</v>
      </c>
      <c r="G97" s="2" t="str">
        <f t="shared" si="1"/>
        <v/>
      </c>
    </row>
    <row r="98" ht="15.75" customHeight="1">
      <c r="E98" s="2" t="str">
        <f>IF(B98=0, Summary!B20, IF(B98=1, Summary!B21, IF(B98=2, Summary!B22, IF(B98=3, Summary!B23, ""))))</f>
        <v/>
      </c>
      <c r="F98" s="2">
        <f>IF(C98&gt;0, Summary!B36 * C98 / IF(Summary!B37=0, 1, Summary!B37), 0)</f>
        <v>0</v>
      </c>
      <c r="G98" s="2" t="str">
        <f t="shared" si="1"/>
        <v/>
      </c>
    </row>
    <row r="99" ht="15.75" customHeight="1">
      <c r="E99" s="2" t="str">
        <f>IF(B99=0, Summary!B20, IF(B99=1, Summary!B21, IF(B99=2, Summary!B22, IF(B99=3, Summary!B23, ""))))</f>
        <v/>
      </c>
      <c r="F99" s="2">
        <f>IF(C99&gt;0, Summary!B36 * C99 / IF(Summary!B37=0, 1, Summary!B37), 0)</f>
        <v>0</v>
      </c>
      <c r="G99" s="2" t="str">
        <f t="shared" si="1"/>
        <v/>
      </c>
    </row>
    <row r="100" ht="15.75" customHeight="1">
      <c r="E100" s="2" t="str">
        <f>IF(B100=0, Summary!B20, IF(B100=1, Summary!B21, IF(B100=2, Summary!B22, IF(B100=3, Summary!B23, ""))))</f>
        <v/>
      </c>
      <c r="F100" s="2">
        <f>IF(C100&gt;0, Summary!B36 * C100 / IF(Summary!B37=0, 1, Summary!B37), 0)</f>
        <v>0</v>
      </c>
      <c r="G100" s="2" t="str">
        <f t="shared" si="1"/>
        <v/>
      </c>
    </row>
    <row r="101" ht="15.75" customHeight="1">
      <c r="E101" s="2" t="str">
        <f>IF(B101=0, Summary!B20, IF(B101=1, Summary!B21, IF(B101=2, Summary!B22, IF(B101=3, Summary!B23, ""))))</f>
        <v/>
      </c>
      <c r="F101" s="2">
        <f>IF(C101&gt;0, Summary!B36 * C101 / IF(Summary!B37=0, 1, Summary!B37), 0)</f>
        <v>0</v>
      </c>
      <c r="G101" s="2" t="str">
        <f t="shared" si="1"/>
        <v/>
      </c>
    </row>
    <row r="102" ht="15.75" customHeight="1">
      <c r="E102" s="2" t="str">
        <f>IF(B102=0, Summary!B20, IF(B102=1, Summary!B21, IF(B102=2, Summary!B22, IF(B102=3, Summary!B23, ""))))</f>
        <v/>
      </c>
      <c r="F102" s="2">
        <f>IF(C102&gt;0, Summary!B36 * C102 / IF(Summary!B37=0, 1, Summary!B37), 0)</f>
        <v>0</v>
      </c>
      <c r="G102" s="2" t="str">
        <f t="shared" si="1"/>
        <v/>
      </c>
    </row>
    <row r="103" ht="15.75" customHeight="1">
      <c r="E103" s="2" t="str">
        <f>IF(B103=0, Summary!B20, IF(B103=1, Summary!B21, IF(B103=2, Summary!B22, IF(B103=3, Summary!B23, ""))))</f>
        <v/>
      </c>
      <c r="F103" s="2">
        <f>IF(C103&gt;0, Summary!B36 * C103 / IF(Summary!B37=0, 1, Summary!B37), 0)</f>
        <v>0</v>
      </c>
      <c r="G103" s="2" t="str">
        <f t="shared" si="1"/>
        <v/>
      </c>
    </row>
    <row r="104" ht="15.75" customHeight="1">
      <c r="E104" s="2" t="str">
        <f>IF(B104=0, Summary!B20, IF(B104=1, Summary!B21, IF(B104=2, Summary!B22, IF(B104=3, Summary!B23, ""))))</f>
        <v/>
      </c>
      <c r="F104" s="2">
        <f>IF(C104&gt;0, Summary!B36 * C104 / IF(Summary!B37=0, 1, Summary!B37), 0)</f>
        <v>0</v>
      </c>
      <c r="G104" s="2" t="str">
        <f t="shared" si="1"/>
        <v/>
      </c>
    </row>
    <row r="105" ht="15.75" customHeight="1">
      <c r="E105" s="2" t="str">
        <f>IF(B105=0, Summary!B20, IF(B105=1, Summary!B21, IF(B105=2, Summary!B22, IF(B105=3, Summary!B23, ""))))</f>
        <v/>
      </c>
      <c r="F105" s="2">
        <f>IF(C105&gt;0, Summary!B36 * C105 / IF(Summary!B37=0, 1, Summary!B37), 0)</f>
        <v>0</v>
      </c>
      <c r="G105" s="2" t="str">
        <f t="shared" si="1"/>
        <v/>
      </c>
    </row>
    <row r="106" ht="15.75" customHeight="1">
      <c r="E106" s="2" t="str">
        <f>IF(B106=0, Summary!B20, IF(B106=1, Summary!B21, IF(B106=2, Summary!B22, IF(B106=3, Summary!B23, ""))))</f>
        <v/>
      </c>
      <c r="F106" s="2">
        <f>IF(C106&gt;0, Summary!B36 * C106 / IF(Summary!B37=0, 1, Summary!B37), 0)</f>
        <v>0</v>
      </c>
      <c r="G106" s="2" t="str">
        <f t="shared" si="1"/>
        <v/>
      </c>
    </row>
    <row r="107" ht="15.75" customHeight="1">
      <c r="E107" s="2" t="str">
        <f>IF(B107=0, Summary!B20, IF(B107=1, Summary!B21, IF(B107=2, Summary!B22, IF(B107=3, Summary!B23, ""))))</f>
        <v/>
      </c>
      <c r="F107" s="2">
        <f>IF(C107&gt;0, Summary!B36 * C107 / IF(Summary!B37=0, 1, Summary!B37), 0)</f>
        <v>0</v>
      </c>
      <c r="G107" s="2" t="str">
        <f t="shared" si="1"/>
        <v/>
      </c>
    </row>
    <row r="108" ht="15.75" customHeight="1">
      <c r="E108" s="2" t="str">
        <f>IF(B108=0, Summary!B20, IF(B108=1, Summary!B21, IF(B108=2, Summary!B22, IF(B108=3, Summary!B23, ""))))</f>
        <v/>
      </c>
      <c r="F108" s="2">
        <f>IF(C108&gt;0, Summary!B36 * C108 / IF(Summary!B37=0, 1, Summary!B37), 0)</f>
        <v>0</v>
      </c>
      <c r="G108" s="2" t="str">
        <f t="shared" si="1"/>
        <v/>
      </c>
    </row>
    <row r="109" ht="15.75" customHeight="1">
      <c r="E109" s="2" t="str">
        <f>IF(B109=0, Summary!B20, IF(B109=1, Summary!B21, IF(B109=2, Summary!B22, IF(B109=3, Summary!B23, ""))))</f>
        <v/>
      </c>
      <c r="F109" s="2">
        <f>IF(C109&gt;0, Summary!B36 * C109 / IF(Summary!B37=0, 1, Summary!B37), 0)</f>
        <v>0</v>
      </c>
      <c r="G109" s="2" t="str">
        <f t="shared" si="1"/>
        <v/>
      </c>
    </row>
    <row r="110" ht="15.75" customHeight="1">
      <c r="E110" s="2" t="str">
        <f>IF(B110=0, Summary!B20, IF(B110=1, Summary!B21, IF(B110=2, Summary!B22, IF(B110=3, Summary!B23, ""))))</f>
        <v/>
      </c>
      <c r="F110" s="2">
        <f>IF(C110&gt;0, Summary!B36 * C110 / IF(Summary!B37=0, 1, Summary!B37), 0)</f>
        <v>0</v>
      </c>
      <c r="G110" s="2" t="str">
        <f t="shared" si="1"/>
        <v/>
      </c>
    </row>
    <row r="111" ht="15.75" customHeight="1">
      <c r="E111" s="2" t="str">
        <f>IF(B111=0, Summary!B20, IF(B111=1, Summary!B21, IF(B111=2, Summary!B22, IF(B111=3, Summary!B23, ""))))</f>
        <v/>
      </c>
      <c r="F111" s="2">
        <f>IF(C111&gt;0, Summary!B36 * C111 / IF(Summary!B37=0, 1, Summary!B37), 0)</f>
        <v>0</v>
      </c>
      <c r="G111" s="2" t="str">
        <f t="shared" si="1"/>
        <v/>
      </c>
    </row>
    <row r="112" ht="15.75" customHeight="1">
      <c r="E112" s="2" t="str">
        <f>IF(B112=0, Summary!B20, IF(B112=1, Summary!B21, IF(B112=2, Summary!B22, IF(B112=3, Summary!B23, ""))))</f>
        <v/>
      </c>
      <c r="F112" s="2">
        <f>IF(C112&gt;0, Summary!B36 * C112 / IF(Summary!B37=0, 1, Summary!B37), 0)</f>
        <v>0</v>
      </c>
      <c r="G112" s="2" t="str">
        <f t="shared" si="1"/>
        <v/>
      </c>
    </row>
    <row r="113" ht="15.75" customHeight="1">
      <c r="E113" s="2" t="str">
        <f>IF(B113=0, Summary!B20, IF(B113=1, Summary!B21, IF(B113=2, Summary!B22, IF(B113=3, Summary!B23, ""))))</f>
        <v/>
      </c>
      <c r="F113" s="2">
        <f>IF(C113&gt;0, Summary!B36 * C113 / IF(Summary!B37=0, 1, Summary!B37), 0)</f>
        <v>0</v>
      </c>
      <c r="G113" s="2" t="str">
        <f t="shared" si="1"/>
        <v/>
      </c>
    </row>
    <row r="114" ht="15.75" customHeight="1">
      <c r="E114" s="2" t="str">
        <f>IF(B114=0, Summary!B20, IF(B114=1, Summary!B21, IF(B114=2, Summary!B22, IF(B114=3, Summary!B23, ""))))</f>
        <v/>
      </c>
      <c r="F114" s="2">
        <f>IF(C114&gt;0, Summary!B36 * C114 / IF(Summary!B37=0, 1, Summary!B37), 0)</f>
        <v>0</v>
      </c>
      <c r="G114" s="2" t="str">
        <f t="shared" si="1"/>
        <v/>
      </c>
    </row>
    <row r="115" ht="15.75" customHeight="1">
      <c r="E115" s="2" t="str">
        <f>IF(B115=0, Summary!B20, IF(B115=1, Summary!B21, IF(B115=2, Summary!B22, IF(B115=3, Summary!B23, ""))))</f>
        <v/>
      </c>
      <c r="F115" s="2">
        <f>IF(C115&gt;0, Summary!B36 * C115 / IF(Summary!B37=0, 1, Summary!B37), 0)</f>
        <v>0</v>
      </c>
      <c r="G115" s="2" t="str">
        <f t="shared" si="1"/>
        <v/>
      </c>
    </row>
    <row r="116" ht="15.75" customHeight="1">
      <c r="E116" s="2" t="str">
        <f>IF(B116=0, Summary!B20, IF(B116=1, Summary!B21, IF(B116=2, Summary!B22, IF(B116=3, Summary!B23, ""))))</f>
        <v/>
      </c>
      <c r="F116" s="2">
        <f>IF(C116&gt;0, Summary!B36 * C116 / IF(Summary!B37=0, 1, Summary!B37), 0)</f>
        <v>0</v>
      </c>
      <c r="G116" s="2" t="str">
        <f t="shared" si="1"/>
        <v/>
      </c>
    </row>
    <row r="117" ht="15.75" customHeight="1">
      <c r="E117" s="2" t="str">
        <f>IF(B117=0, Summary!B20, IF(B117=1, Summary!B21, IF(B117=2, Summary!B22, IF(B117=3, Summary!B23, ""))))</f>
        <v/>
      </c>
      <c r="F117" s="2">
        <f>IF(C117&gt;0, Summary!B36 * C117 / IF(Summary!B37=0, 1, Summary!B37), 0)</f>
        <v>0</v>
      </c>
      <c r="G117" s="2" t="str">
        <f t="shared" si="1"/>
        <v/>
      </c>
    </row>
    <row r="118" ht="15.75" customHeight="1">
      <c r="E118" s="2" t="str">
        <f>IF(B118=0, Summary!B20, IF(B118=1, Summary!B21, IF(B118=2, Summary!B22, IF(B118=3, Summary!B23, ""))))</f>
        <v/>
      </c>
      <c r="F118" s="2">
        <f>IF(C118&gt;0, Summary!B36 * C118 / IF(Summary!B37=0, 1, Summary!B37), 0)</f>
        <v>0</v>
      </c>
      <c r="G118" s="2" t="str">
        <f t="shared" si="1"/>
        <v/>
      </c>
    </row>
    <row r="119" ht="15.75" customHeight="1">
      <c r="E119" s="2" t="str">
        <f>IF(B119=0, Summary!B20, IF(B119=1, Summary!B21, IF(B119=2, Summary!B22, IF(B119=3, Summary!B23, ""))))</f>
        <v/>
      </c>
      <c r="F119" s="2">
        <f>IF(C119&gt;0, Summary!B36 * C119 / IF(Summary!B37=0, 1, Summary!B37), 0)</f>
        <v>0</v>
      </c>
      <c r="G119" s="2" t="str">
        <f t="shared" si="1"/>
        <v/>
      </c>
    </row>
    <row r="120" ht="15.75" customHeight="1">
      <c r="E120" s="2" t="str">
        <f>IF(B120=0, Summary!B20, IF(B120=1, Summary!B21, IF(B120=2, Summary!B22, IF(B120=3, Summary!B23, ""))))</f>
        <v/>
      </c>
      <c r="F120" s="2">
        <f>IF(C120&gt;0, Summary!B36 * C120 / IF(Summary!B37=0, 1, Summary!B37), 0)</f>
        <v>0</v>
      </c>
      <c r="G120" s="2" t="str">
        <f t="shared" si="1"/>
        <v/>
      </c>
    </row>
    <row r="121" ht="15.75" customHeight="1">
      <c r="E121" s="2" t="str">
        <f>IF(B121=0, Summary!B20, IF(B121=1, Summary!B21, IF(B121=2, Summary!B22, IF(B121=3, Summary!B23, ""))))</f>
        <v/>
      </c>
      <c r="F121" s="2">
        <f>IF(C121&gt;0, Summary!B36 * C121 / IF(Summary!B37=0, 1, Summary!B37), 0)</f>
        <v>0</v>
      </c>
      <c r="G121" s="2" t="str">
        <f t="shared" si="1"/>
        <v/>
      </c>
    </row>
    <row r="122" ht="15.75" customHeight="1">
      <c r="E122" s="2" t="str">
        <f>IF(B122=0, Summary!B20, IF(B122=1, Summary!B21, IF(B122=2, Summary!B22, IF(B122=3, Summary!B23, ""))))</f>
        <v/>
      </c>
      <c r="F122" s="2">
        <f>IF(C122&gt;0, Summary!B36 * C122 / IF(Summary!B37=0, 1, Summary!B37), 0)</f>
        <v>0</v>
      </c>
      <c r="G122" s="2" t="str">
        <f t="shared" si="1"/>
        <v/>
      </c>
    </row>
    <row r="123" ht="15.75" customHeight="1">
      <c r="E123" s="2" t="str">
        <f>IF(B123=0, Summary!B20, IF(B123=1, Summary!B21, IF(B123=2, Summary!B22, IF(B123=3, Summary!B23, ""))))</f>
        <v/>
      </c>
      <c r="F123" s="2">
        <f>IF(C123&gt;0, Summary!B36 * C123 / IF(Summary!B37=0, 1, Summary!B37), 0)</f>
        <v>0</v>
      </c>
      <c r="G123" s="2" t="str">
        <f t="shared" si="1"/>
        <v/>
      </c>
    </row>
    <row r="124" ht="15.75" customHeight="1">
      <c r="E124" s="2" t="str">
        <f>IF(B124=0, Summary!B20, IF(B124=1, Summary!B21, IF(B124=2, Summary!B22, IF(B124=3, Summary!B23, ""))))</f>
        <v/>
      </c>
      <c r="F124" s="2">
        <f>IF(C124&gt;0, Summary!B36 * C124 / IF(Summary!B37=0, 1, Summary!B37), 0)</f>
        <v>0</v>
      </c>
      <c r="G124" s="2" t="str">
        <f t="shared" si="1"/>
        <v/>
      </c>
    </row>
    <row r="125" ht="15.75" customHeight="1">
      <c r="E125" s="2" t="str">
        <f>IF(B125=0, Summary!B20, IF(B125=1, Summary!B21, IF(B125=2, Summary!B22, IF(B125=3, Summary!B23, ""))))</f>
        <v/>
      </c>
      <c r="F125" s="2">
        <f>IF(C125&gt;0, Summary!B36 * C125 / IF(Summary!B37=0, 1, Summary!B37), 0)</f>
        <v>0</v>
      </c>
      <c r="G125" s="2" t="str">
        <f t="shared" si="1"/>
        <v/>
      </c>
    </row>
    <row r="126" ht="15.75" customHeight="1">
      <c r="E126" s="2" t="str">
        <f>IF(B126=0, Summary!B20, IF(B126=1, Summary!B21, IF(B126=2, Summary!B22, IF(B126=3, Summary!B23, ""))))</f>
        <v/>
      </c>
      <c r="F126" s="2">
        <f>IF(C126&gt;0, Summary!B36 * C126 / IF(Summary!B37=0, 1, Summary!B37), 0)</f>
        <v>0</v>
      </c>
      <c r="G126" s="2" t="str">
        <f t="shared" si="1"/>
        <v/>
      </c>
    </row>
    <row r="127" ht="15.75" customHeight="1">
      <c r="E127" s="2" t="str">
        <f>IF(B127=0, Summary!B20, IF(B127=1, Summary!B21, IF(B127=2, Summary!B22, IF(B127=3, Summary!B23, ""))))</f>
        <v/>
      </c>
      <c r="F127" s="2">
        <f>IF(C127&gt;0, Summary!B36 * C127 / IF(Summary!B37=0, 1, Summary!B37), 0)</f>
        <v>0</v>
      </c>
      <c r="G127" s="2" t="str">
        <f t="shared" si="1"/>
        <v/>
      </c>
    </row>
    <row r="128" ht="15.75" customHeight="1">
      <c r="E128" s="2" t="str">
        <f>IF(B128=0, Summary!B20, IF(B128=1, Summary!B21, IF(B128=2, Summary!B22, IF(B128=3, Summary!B23, ""))))</f>
        <v/>
      </c>
      <c r="F128" s="2">
        <f>IF(C128&gt;0, Summary!B36 * C128 / IF(Summary!B37=0, 1, Summary!B37), 0)</f>
        <v>0</v>
      </c>
      <c r="G128" s="2" t="str">
        <f t="shared" si="1"/>
        <v/>
      </c>
    </row>
    <row r="129" ht="15.75" customHeight="1">
      <c r="E129" s="2" t="str">
        <f>IF(B129=0, Summary!B20, IF(B129=1, Summary!B21, IF(B129=2, Summary!B22, IF(B129=3, Summary!B23, ""))))</f>
        <v/>
      </c>
      <c r="F129" s="2">
        <f>IF(C129&gt;0, Summary!B36 * C129 / IF(Summary!B37=0, 1, Summary!B37), 0)</f>
        <v>0</v>
      </c>
      <c r="G129" s="2" t="str">
        <f t="shared" si="1"/>
        <v/>
      </c>
    </row>
    <row r="130" ht="15.75" customHeight="1">
      <c r="E130" s="2" t="str">
        <f>IF(B130=0, Summary!B20, IF(B130=1, Summary!B21, IF(B130=2, Summary!B22, IF(B130=3, Summary!B23, ""))))</f>
        <v/>
      </c>
      <c r="F130" s="2">
        <f>IF(C130&gt;0, Summary!B36 * C130 / IF(Summary!B37=0, 1, Summary!B37), 0)</f>
        <v>0</v>
      </c>
      <c r="G130" s="2" t="str">
        <f t="shared" si="1"/>
        <v/>
      </c>
    </row>
    <row r="131" ht="15.75" customHeight="1">
      <c r="E131" s="2" t="str">
        <f>IF(B131=0, Summary!B20, IF(B131=1, Summary!B21, IF(B131=2, Summary!B22, IF(B131=3, Summary!B23, ""))))</f>
        <v/>
      </c>
      <c r="F131" s="2">
        <f>IF(C131&gt;0, Summary!B36 * C131 / IF(Summary!B37=0, 1, Summary!B37), 0)</f>
        <v>0</v>
      </c>
      <c r="G131" s="2" t="str">
        <f t="shared" si="1"/>
        <v/>
      </c>
    </row>
    <row r="132" ht="15.75" customHeight="1">
      <c r="E132" s="2" t="str">
        <f>IF(B132=0, Summary!B20, IF(B132=1, Summary!B21, IF(B132=2, Summary!B22, IF(B132=3, Summary!B23, ""))))</f>
        <v/>
      </c>
      <c r="F132" s="2">
        <f>IF(C132&gt;0, Summary!B36 * C132 / IF(Summary!B37=0, 1, Summary!B37), 0)</f>
        <v>0</v>
      </c>
      <c r="G132" s="2" t="str">
        <f t="shared" si="1"/>
        <v/>
      </c>
    </row>
    <row r="133" ht="15.75" customHeight="1">
      <c r="E133" s="2" t="str">
        <f>IF(B133=0, Summary!B20, IF(B133=1, Summary!B21, IF(B133=2, Summary!B22, IF(B133=3, Summary!B23, ""))))</f>
        <v/>
      </c>
      <c r="F133" s="2">
        <f>IF(C133&gt;0, Summary!B36 * C133 / IF(Summary!B37=0, 1, Summary!B37), 0)</f>
        <v>0</v>
      </c>
      <c r="G133" s="2" t="str">
        <f t="shared" si="1"/>
        <v/>
      </c>
    </row>
    <row r="134" ht="15.75" customHeight="1">
      <c r="E134" s="2" t="str">
        <f>IF(B134=0, Summary!B20, IF(B134=1, Summary!B21, IF(B134=2, Summary!B22, IF(B134=3, Summary!B23, ""))))</f>
        <v/>
      </c>
      <c r="F134" s="2">
        <f>IF(C134&gt;0, Summary!B36 * C134 / IF(Summary!B37=0, 1, Summary!B37), 0)</f>
        <v>0</v>
      </c>
      <c r="G134" s="2" t="str">
        <f t="shared" si="1"/>
        <v/>
      </c>
    </row>
    <row r="135" ht="15.75" customHeight="1">
      <c r="E135" s="2" t="str">
        <f>IF(B135=0, Summary!B20, IF(B135=1, Summary!B21, IF(B135=2, Summary!B22, IF(B135=3, Summary!B23, ""))))</f>
        <v/>
      </c>
      <c r="F135" s="2">
        <f>IF(C135&gt;0, Summary!B36 * C135 / IF(Summary!B37=0, 1, Summary!B37), 0)</f>
        <v>0</v>
      </c>
      <c r="G135" s="2" t="str">
        <f t="shared" si="1"/>
        <v/>
      </c>
    </row>
    <row r="136" ht="15.75" customHeight="1">
      <c r="E136" s="2" t="str">
        <f>IF(B136=0, Summary!B20, IF(B136=1, Summary!B21, IF(B136=2, Summary!B22, IF(B136=3, Summary!B23, ""))))</f>
        <v/>
      </c>
      <c r="F136" s="2">
        <f>IF(C136&gt;0, Summary!B36 * C136 / IF(Summary!B37=0, 1, Summary!B37), 0)</f>
        <v>0</v>
      </c>
      <c r="G136" s="2" t="str">
        <f t="shared" si="1"/>
        <v/>
      </c>
    </row>
    <row r="137" ht="15.75" customHeight="1">
      <c r="E137" s="2" t="str">
        <f>IF(B137=0, Summary!B20, IF(B137=1, Summary!B21, IF(B137=2, Summary!B22, IF(B137=3, Summary!B23, ""))))</f>
        <v/>
      </c>
      <c r="F137" s="2">
        <f>IF(C137&gt;0, Summary!B36 * C137 / IF(Summary!B37=0, 1, Summary!B37), 0)</f>
        <v>0</v>
      </c>
      <c r="G137" s="2" t="str">
        <f t="shared" si="1"/>
        <v/>
      </c>
    </row>
    <row r="138" ht="15.75" customHeight="1">
      <c r="E138" s="2" t="str">
        <f>IF(B138=0, Summary!B20, IF(B138=1, Summary!B21, IF(B138=2, Summary!B22, IF(B138=3, Summary!B23, ""))))</f>
        <v/>
      </c>
      <c r="F138" s="2">
        <f>IF(C138&gt;0, Summary!B36 * C138 / IF(Summary!B37=0, 1, Summary!B37), 0)</f>
        <v>0</v>
      </c>
      <c r="G138" s="2" t="str">
        <f t="shared" si="1"/>
        <v/>
      </c>
    </row>
    <row r="139" ht="15.75" customHeight="1">
      <c r="E139" s="2" t="str">
        <f>IF(B139=0, Summary!B20, IF(B139=1, Summary!B21, IF(B139=2, Summary!B22, IF(B139=3, Summary!B23, ""))))</f>
        <v/>
      </c>
      <c r="F139" s="2">
        <f>IF(C139&gt;0, Summary!B36 * C139 / IF(Summary!B37=0, 1, Summary!B37), 0)</f>
        <v>0</v>
      </c>
      <c r="G139" s="2" t="str">
        <f t="shared" si="1"/>
        <v/>
      </c>
    </row>
    <row r="140" ht="15.75" customHeight="1">
      <c r="E140" s="2" t="str">
        <f>IF(B140=0, Summary!B20, IF(B140=1, Summary!B21, IF(B140=2, Summary!B22, IF(B140=3, Summary!B23, ""))))</f>
        <v/>
      </c>
      <c r="F140" s="2">
        <f>IF(C140&gt;0, Summary!B36 * C140 / IF(Summary!B37=0, 1, Summary!B37), 0)</f>
        <v>0</v>
      </c>
      <c r="G140" s="2" t="str">
        <f t="shared" si="1"/>
        <v/>
      </c>
    </row>
    <row r="141" ht="15.75" customHeight="1">
      <c r="E141" s="2" t="str">
        <f>IF(B141=0, Summary!B20, IF(B141=1, Summary!B21, IF(B141=2, Summary!B22, IF(B141=3, Summary!B23, ""))))</f>
        <v/>
      </c>
      <c r="F141" s="2">
        <f>IF(C141&gt;0, Summary!B36 * C141 / IF(Summary!B37=0, 1, Summary!B37), 0)</f>
        <v>0</v>
      </c>
      <c r="G141" s="2" t="str">
        <f t="shared" si="1"/>
        <v/>
      </c>
    </row>
    <row r="142" ht="15.75" customHeight="1">
      <c r="E142" s="2" t="str">
        <f>IF(B142=0, Summary!B20, IF(B142=1, Summary!B21, IF(B142=2, Summary!B22, IF(B142=3, Summary!B23, ""))))</f>
        <v/>
      </c>
      <c r="F142" s="2">
        <f>IF(C142&gt;0, Summary!B36 * C142 / IF(Summary!B37=0, 1, Summary!B37), 0)</f>
        <v>0</v>
      </c>
      <c r="G142" s="2" t="str">
        <f t="shared" si="1"/>
        <v/>
      </c>
    </row>
    <row r="143" ht="15.75" customHeight="1">
      <c r="E143" s="2" t="str">
        <f>IF(B143=0, Summary!B20, IF(B143=1, Summary!B21, IF(B143=2, Summary!B22, IF(B143=3, Summary!B23, ""))))</f>
        <v/>
      </c>
      <c r="F143" s="2">
        <f>IF(C143&gt;0, Summary!B36 * C143 / IF(Summary!B37=0, 1, Summary!B37), 0)</f>
        <v>0</v>
      </c>
      <c r="G143" s="2" t="str">
        <f t="shared" si="1"/>
        <v/>
      </c>
    </row>
    <row r="144" ht="15.75" customHeight="1">
      <c r="E144" s="2" t="str">
        <f>IF(B144=0, Summary!B20, IF(B144=1, Summary!B21, IF(B144=2, Summary!B22, IF(B144=3, Summary!B23, ""))))</f>
        <v/>
      </c>
      <c r="F144" s="2">
        <f>IF(C144&gt;0, Summary!B36 * C144 / IF(Summary!B37=0, 1, Summary!B37), 0)</f>
        <v>0</v>
      </c>
      <c r="G144" s="2" t="str">
        <f t="shared" si="1"/>
        <v/>
      </c>
    </row>
    <row r="145" ht="15.75" customHeight="1">
      <c r="E145" s="2" t="str">
        <f>IF(B145=0, Summary!B20, IF(B145=1, Summary!B21, IF(B145=2, Summary!B22, IF(B145=3, Summary!B23, ""))))</f>
        <v/>
      </c>
      <c r="F145" s="2">
        <f>IF(C145&gt;0, Summary!B36 * C145 / IF(Summary!B37=0, 1, Summary!B37), 0)</f>
        <v>0</v>
      </c>
      <c r="G145" s="2" t="str">
        <f t="shared" si="1"/>
        <v/>
      </c>
    </row>
    <row r="146" ht="15.75" customHeight="1">
      <c r="E146" s="2" t="str">
        <f>IF(B146=0, Summary!B20, IF(B146=1, Summary!B21, IF(B146=2, Summary!B22, IF(B146=3, Summary!B23, ""))))</f>
        <v/>
      </c>
      <c r="F146" s="2">
        <f>IF(C146&gt;0, Summary!B36 * C146 / IF(Summary!B37=0, 1, Summary!B37), 0)</f>
        <v>0</v>
      </c>
      <c r="G146" s="2" t="str">
        <f t="shared" si="1"/>
        <v/>
      </c>
    </row>
    <row r="147" ht="15.75" customHeight="1">
      <c r="E147" s="2" t="str">
        <f>IF(B147=0, Summary!B20, IF(B147=1, Summary!B21, IF(B147=2, Summary!B22, IF(B147=3, Summary!B23, ""))))</f>
        <v/>
      </c>
      <c r="F147" s="2">
        <f>IF(C147&gt;0, Summary!B36 * C147 / IF(Summary!B37=0, 1, Summary!B37), 0)</f>
        <v>0</v>
      </c>
      <c r="G147" s="2" t="str">
        <f t="shared" si="1"/>
        <v/>
      </c>
    </row>
    <row r="148" ht="15.75" customHeight="1">
      <c r="E148" s="2" t="str">
        <f>IF(B148=0, Summary!B20, IF(B148=1, Summary!B21, IF(B148=2, Summary!B22, IF(B148=3, Summary!B23, ""))))</f>
        <v/>
      </c>
      <c r="F148" s="2">
        <f>IF(C148&gt;0, Summary!B36 * C148 / IF(Summary!B37=0, 1, Summary!B37), 0)</f>
        <v>0</v>
      </c>
      <c r="G148" s="2" t="str">
        <f t="shared" si="1"/>
        <v/>
      </c>
    </row>
    <row r="149" ht="15.75" customHeight="1">
      <c r="E149" s="2" t="str">
        <f>IF(B149=0, Summary!B20, IF(B149=1, Summary!B21, IF(B149=2, Summary!B22, IF(B149=3, Summary!B23, ""))))</f>
        <v/>
      </c>
      <c r="F149" s="2">
        <f>IF(C149&gt;0, Summary!B36 * C149 / IF(Summary!B37=0, 1, Summary!B37), 0)</f>
        <v>0</v>
      </c>
      <c r="G149" s="2" t="str">
        <f t="shared" si="1"/>
        <v/>
      </c>
    </row>
    <row r="150" ht="15.75" customHeight="1">
      <c r="E150" s="2" t="str">
        <f>IF(B150=0, Summary!B20, IF(B150=1, Summary!B21, IF(B150=2, Summary!B22, IF(B150=3, Summary!B23, ""))))</f>
        <v/>
      </c>
      <c r="F150" s="2">
        <f>IF(C150&gt;0, Summary!B36 * C150 / IF(Summary!B37=0, 1, Summary!B37), 0)</f>
        <v>0</v>
      </c>
      <c r="G150" s="2" t="str">
        <f t="shared" si="1"/>
        <v/>
      </c>
    </row>
    <row r="151" ht="15.75" customHeight="1">
      <c r="E151" s="2" t="str">
        <f>IF(B151=0, Summary!B20, IF(B151=1, Summary!B21, IF(B151=2, Summary!B22, IF(B151=3, Summary!B23, ""))))</f>
        <v/>
      </c>
      <c r="F151" s="2">
        <f>IF(C151&gt;0, Summary!B36 * C151 / IF(Summary!B37=0, 1, Summary!B37), 0)</f>
        <v>0</v>
      </c>
      <c r="G151" s="2" t="str">
        <f t="shared" si="1"/>
        <v/>
      </c>
    </row>
    <row r="152" ht="15.75" customHeight="1">
      <c r="E152" s="2" t="str">
        <f>IF(B152=0, Summary!B20, IF(B152=1, Summary!B21, IF(B152=2, Summary!B22, IF(B152=3, Summary!B23, ""))))</f>
        <v/>
      </c>
      <c r="F152" s="2">
        <f>IF(C152&gt;0, Summary!B36 * C152 / IF(Summary!B37=0, 1, Summary!B37), 0)</f>
        <v>0</v>
      </c>
      <c r="G152" s="2" t="str">
        <f t="shared" si="1"/>
        <v/>
      </c>
    </row>
    <row r="153" ht="15.75" customHeight="1">
      <c r="E153" s="2" t="str">
        <f>IF(B153=0, Summary!B20, IF(B153=1, Summary!B21, IF(B153=2, Summary!B22, IF(B153=3, Summary!B23, ""))))</f>
        <v/>
      </c>
      <c r="F153" s="2">
        <f>IF(C153&gt;0, Summary!B36 * C153 / IF(Summary!B37=0, 1, Summary!B37), 0)</f>
        <v>0</v>
      </c>
      <c r="G153" s="2" t="str">
        <f t="shared" si="1"/>
        <v/>
      </c>
    </row>
    <row r="154" ht="15.75" customHeight="1">
      <c r="E154" s="2" t="str">
        <f>IF(B154=0, Summary!B20, IF(B154=1, Summary!B21, IF(B154=2, Summary!B22, IF(B154=3, Summary!B23, ""))))</f>
        <v/>
      </c>
      <c r="F154" s="2">
        <f>IF(C154&gt;0, Summary!B36 * C154 / IF(Summary!B37=0, 1, Summary!B37), 0)</f>
        <v>0</v>
      </c>
      <c r="G154" s="2" t="str">
        <f t="shared" si="1"/>
        <v/>
      </c>
    </row>
    <row r="155" ht="15.75" customHeight="1">
      <c r="E155" s="2" t="str">
        <f>IF(B155=0, Summary!B20, IF(B155=1, Summary!B21, IF(B155=2, Summary!B22, IF(B155=3, Summary!B23, ""))))</f>
        <v/>
      </c>
      <c r="F155" s="2">
        <f>IF(C155&gt;0, Summary!B36 * C155 / IF(Summary!B37=0, 1, Summary!B37), 0)</f>
        <v>0</v>
      </c>
      <c r="G155" s="2" t="str">
        <f t="shared" si="1"/>
        <v/>
      </c>
    </row>
    <row r="156" ht="15.75" customHeight="1">
      <c r="E156" s="2" t="str">
        <f>IF(B156=0, Summary!B20, IF(B156=1, Summary!B21, IF(B156=2, Summary!B22, IF(B156=3, Summary!B23, ""))))</f>
        <v/>
      </c>
      <c r="F156" s="2">
        <f>IF(C156&gt;0, Summary!B36 * C156 / IF(Summary!B37=0, 1, Summary!B37), 0)</f>
        <v>0</v>
      </c>
      <c r="G156" s="2" t="str">
        <f t="shared" si="1"/>
        <v/>
      </c>
    </row>
    <row r="157" ht="15.75" customHeight="1">
      <c r="E157" s="2" t="str">
        <f>IF(B157=0, Summary!B20, IF(B157=1, Summary!B21, IF(B157=2, Summary!B22, IF(B157=3, Summary!B23, ""))))</f>
        <v/>
      </c>
      <c r="F157" s="2">
        <f>IF(C157&gt;0, Summary!B36 * C157 / IF(Summary!B37=0, 1, Summary!B37), 0)</f>
        <v>0</v>
      </c>
      <c r="G157" s="2" t="str">
        <f t="shared" si="1"/>
        <v/>
      </c>
    </row>
    <row r="158" ht="15.75" customHeight="1">
      <c r="E158" s="2" t="str">
        <f>IF(B158=0, Summary!B20, IF(B158=1, Summary!B21, IF(B158=2, Summary!B22, IF(B158=3, Summary!B23, ""))))</f>
        <v/>
      </c>
      <c r="F158" s="2">
        <f>IF(C158&gt;0, Summary!B36 * C158 / IF(Summary!B37=0, 1, Summary!B37), 0)</f>
        <v>0</v>
      </c>
      <c r="G158" s="2" t="str">
        <f t="shared" si="1"/>
        <v/>
      </c>
    </row>
    <row r="159" ht="15.75" customHeight="1">
      <c r="E159" s="2" t="str">
        <f>IF(B159=0, Summary!B20, IF(B159=1, Summary!B21, IF(B159=2, Summary!B22, IF(B159=3, Summary!B23, ""))))</f>
        <v/>
      </c>
      <c r="F159" s="2">
        <f>IF(C159&gt;0, Summary!B36 * C159 / IF(Summary!B37=0, 1, Summary!B37), 0)</f>
        <v>0</v>
      </c>
      <c r="G159" s="2" t="str">
        <f t="shared" si="1"/>
        <v/>
      </c>
    </row>
    <row r="160" ht="15.75" customHeight="1">
      <c r="E160" s="2" t="str">
        <f>IF(B160=0, Summary!B20, IF(B160=1, Summary!B21, IF(B160=2, Summary!B22, IF(B160=3, Summary!B23, ""))))</f>
        <v/>
      </c>
      <c r="F160" s="2">
        <f>IF(C160&gt;0, Summary!B36 * C160 / IF(Summary!B37=0, 1, Summary!B37), 0)</f>
        <v>0</v>
      </c>
      <c r="G160" s="2" t="str">
        <f t="shared" si="1"/>
        <v/>
      </c>
    </row>
    <row r="161" ht="15.75" customHeight="1">
      <c r="E161" s="2" t="str">
        <f>IF(B161=0, Summary!B20, IF(B161=1, Summary!B21, IF(B161=2, Summary!B22, IF(B161=3, Summary!B23, ""))))</f>
        <v/>
      </c>
      <c r="F161" s="2">
        <f>IF(C161&gt;0, Summary!B36 * C161 / IF(Summary!B37=0, 1, Summary!B37), 0)</f>
        <v>0</v>
      </c>
      <c r="G161" s="2" t="str">
        <f t="shared" si="1"/>
        <v/>
      </c>
    </row>
    <row r="162" ht="15.75" customHeight="1">
      <c r="E162" s="2" t="str">
        <f>IF(B162=0, Summary!B20, IF(B162=1, Summary!B21, IF(B162=2, Summary!B22, IF(B162=3, Summary!B23, ""))))</f>
        <v/>
      </c>
      <c r="F162" s="2">
        <f>IF(C162&gt;0, Summary!B36 * C162 / IF(Summary!B37=0, 1, Summary!B37), 0)</f>
        <v>0</v>
      </c>
      <c r="G162" s="2" t="str">
        <f t="shared" si="1"/>
        <v/>
      </c>
    </row>
    <row r="163" ht="15.75" customHeight="1">
      <c r="E163" s="2" t="str">
        <f>IF(B163=0, Summary!B20, IF(B163=1, Summary!B21, IF(B163=2, Summary!B22, IF(B163=3, Summary!B23, ""))))</f>
        <v/>
      </c>
      <c r="F163" s="2">
        <f>IF(C163&gt;0, Summary!B36 * C163 / IF(Summary!B37=0, 1, Summary!B37), 0)</f>
        <v>0</v>
      </c>
      <c r="G163" s="2" t="str">
        <f t="shared" si="1"/>
        <v/>
      </c>
    </row>
    <row r="164" ht="15.75" customHeight="1">
      <c r="E164" s="2" t="str">
        <f>IF(B164=0, Summary!B20, IF(B164=1, Summary!B21, IF(B164=2, Summary!B22, IF(B164=3, Summary!B23, ""))))</f>
        <v/>
      </c>
      <c r="F164" s="2">
        <f>IF(C164&gt;0, Summary!B36 * C164 / IF(Summary!B37=0, 1, Summary!B37), 0)</f>
        <v>0</v>
      </c>
      <c r="G164" s="2" t="str">
        <f t="shared" si="1"/>
        <v/>
      </c>
    </row>
    <row r="165" ht="15.75" customHeight="1">
      <c r="E165" s="2" t="str">
        <f>IF(B165=0, Summary!B20, IF(B165=1, Summary!B21, IF(B165=2, Summary!B22, IF(B165=3, Summary!B23, ""))))</f>
        <v/>
      </c>
      <c r="F165" s="2">
        <f>IF(C165&gt;0, Summary!B36 * C165 / IF(Summary!B37=0, 1, Summary!B37), 0)</f>
        <v>0</v>
      </c>
      <c r="G165" s="2" t="str">
        <f t="shared" si="1"/>
        <v/>
      </c>
    </row>
    <row r="166" ht="15.75" customHeight="1">
      <c r="E166" s="2" t="str">
        <f>IF(B166=0, Summary!B20, IF(B166=1, Summary!B21, IF(B166=2, Summary!B22, IF(B166=3, Summary!B23, ""))))</f>
        <v/>
      </c>
      <c r="F166" s="2">
        <f>IF(C166&gt;0, Summary!B36 * C166 / IF(Summary!B37=0, 1, Summary!B37), 0)</f>
        <v>0</v>
      </c>
      <c r="G166" s="2" t="str">
        <f t="shared" si="1"/>
        <v/>
      </c>
    </row>
    <row r="167" ht="15.75" customHeight="1">
      <c r="E167" s="2" t="str">
        <f>IF(B167=0, Summary!B20, IF(B167=1, Summary!B21, IF(B167=2, Summary!B22, IF(B167=3, Summary!B23, ""))))</f>
        <v/>
      </c>
      <c r="F167" s="2">
        <f>IF(C167&gt;0, Summary!B36 * C167 / IF(Summary!B37=0, 1, Summary!B37), 0)</f>
        <v>0</v>
      </c>
      <c r="G167" s="2" t="str">
        <f t="shared" si="1"/>
        <v/>
      </c>
    </row>
    <row r="168" ht="15.75" customHeight="1">
      <c r="E168" s="2" t="str">
        <f>IF(B168=0, Summary!B20, IF(B168=1, Summary!B21, IF(B168=2, Summary!B22, IF(B168=3, Summary!B23, ""))))</f>
        <v/>
      </c>
      <c r="F168" s="2">
        <f>IF(C168&gt;0, Summary!B36 * C168 / IF(Summary!B37=0, 1, Summary!B37), 0)</f>
        <v>0</v>
      </c>
      <c r="G168" s="2" t="str">
        <f t="shared" si="1"/>
        <v/>
      </c>
    </row>
    <row r="169" ht="15.75" customHeight="1">
      <c r="E169" s="2" t="str">
        <f>IF(B169=0, Summary!B20, IF(B169=1, Summary!B21, IF(B169=2, Summary!B22, IF(B169=3, Summary!B23, ""))))</f>
        <v/>
      </c>
      <c r="F169" s="2">
        <f>IF(C169&gt;0, Summary!B36 * C169 / IF(Summary!B37=0, 1, Summary!B37), 0)</f>
        <v>0</v>
      </c>
      <c r="G169" s="2" t="str">
        <f t="shared" si="1"/>
        <v/>
      </c>
    </row>
    <row r="170" ht="15.75" customHeight="1">
      <c r="E170" s="2" t="str">
        <f>IF(B170=0, Summary!B20, IF(B170=1, Summary!B21, IF(B170=2, Summary!B22, IF(B170=3, Summary!B23, ""))))</f>
        <v/>
      </c>
      <c r="F170" s="2">
        <f>IF(C170&gt;0, Summary!B36 * C170 / IF(Summary!B37=0, 1, Summary!B37), 0)</f>
        <v>0</v>
      </c>
      <c r="G170" s="2" t="str">
        <f t="shared" si="1"/>
        <v/>
      </c>
    </row>
    <row r="171" ht="15.75" customHeight="1">
      <c r="E171" s="2" t="str">
        <f>IF(B171=0, Summary!B20, IF(B171=1, Summary!B21, IF(B171=2, Summary!B22, IF(B171=3, Summary!B23, ""))))</f>
        <v/>
      </c>
      <c r="F171" s="2">
        <f>IF(C171&gt;0, Summary!B36 * C171 / IF(Summary!B37=0, 1, Summary!B37), 0)</f>
        <v>0</v>
      </c>
      <c r="G171" s="2" t="str">
        <f t="shared" si="1"/>
        <v/>
      </c>
    </row>
    <row r="172" ht="15.75" customHeight="1">
      <c r="E172" s="2" t="str">
        <f>IF(B172=0, Summary!B20, IF(B172=1, Summary!B21, IF(B172=2, Summary!B22, IF(B172=3, Summary!B23, ""))))</f>
        <v/>
      </c>
      <c r="F172" s="2">
        <f>IF(C172&gt;0, Summary!B36 * C172 / IF(Summary!B37=0, 1, Summary!B37), 0)</f>
        <v>0</v>
      </c>
      <c r="G172" s="2" t="str">
        <f t="shared" si="1"/>
        <v/>
      </c>
    </row>
    <row r="173" ht="15.75" customHeight="1">
      <c r="E173" s="2" t="str">
        <f>IF(B173=0, Summary!B20, IF(B173=1, Summary!B21, IF(B173=2, Summary!B22, IF(B173=3, Summary!B23, ""))))</f>
        <v/>
      </c>
      <c r="F173" s="2">
        <f>IF(C173&gt;0, Summary!B36 * C173 / IF(Summary!B37=0, 1, Summary!B37), 0)</f>
        <v>0</v>
      </c>
      <c r="G173" s="2" t="str">
        <f t="shared" si="1"/>
        <v/>
      </c>
    </row>
    <row r="174" ht="15.75" customHeight="1">
      <c r="E174" s="2" t="str">
        <f>IF(B174=0, Summary!B20, IF(B174=1, Summary!B21, IF(B174=2, Summary!B22, IF(B174=3, Summary!B23, ""))))</f>
        <v/>
      </c>
      <c r="F174" s="2">
        <f>IF(C174&gt;0, Summary!B36 * C174 / IF(Summary!B37=0, 1, Summary!B37), 0)</f>
        <v>0</v>
      </c>
      <c r="G174" s="2" t="str">
        <f t="shared" si="1"/>
        <v/>
      </c>
    </row>
    <row r="175" ht="15.75" customHeight="1">
      <c r="E175" s="2" t="str">
        <f>IF(B175=0, Summary!B20, IF(B175=1, Summary!B21, IF(B175=2, Summary!B22, IF(B175=3, Summary!B23, ""))))</f>
        <v/>
      </c>
      <c r="F175" s="2">
        <f>IF(C175&gt;0, Summary!B36 * C175 / IF(Summary!B37=0, 1, Summary!B37), 0)</f>
        <v>0</v>
      </c>
      <c r="G175" s="2" t="str">
        <f t="shared" si="1"/>
        <v/>
      </c>
    </row>
    <row r="176" ht="15.75" customHeight="1">
      <c r="E176" s="2" t="str">
        <f>IF(B176=0, Summary!B20, IF(B176=1, Summary!B21, IF(B176=2, Summary!B22, IF(B176=3, Summary!B23, ""))))</f>
        <v/>
      </c>
      <c r="F176" s="2">
        <f>IF(C176&gt;0, Summary!B36 * C176 / IF(Summary!B37=0, 1, Summary!B37), 0)</f>
        <v>0</v>
      </c>
      <c r="G176" s="2" t="str">
        <f t="shared" si="1"/>
        <v/>
      </c>
    </row>
    <row r="177" ht="15.75" customHeight="1">
      <c r="E177" s="2" t="str">
        <f>IF(B177=0, Summary!B20, IF(B177=1, Summary!B21, IF(B177=2, Summary!B22, IF(B177=3, Summary!B23, ""))))</f>
        <v/>
      </c>
      <c r="F177" s="2">
        <f>IF(C177&gt;0, Summary!B36 * C177 / IF(Summary!B37=0, 1, Summary!B37), 0)</f>
        <v>0</v>
      </c>
      <c r="G177" s="2" t="str">
        <f t="shared" si="1"/>
        <v/>
      </c>
    </row>
    <row r="178" ht="15.75" customHeight="1">
      <c r="E178" s="2" t="str">
        <f>IF(B178=0, Summary!B20, IF(B178=1, Summary!B21, IF(B178=2, Summary!B22, IF(B178=3, Summary!B23, ""))))</f>
        <v/>
      </c>
      <c r="F178" s="2">
        <f>IF(C178&gt;0, Summary!B36 * C178 / IF(Summary!B37=0, 1, Summary!B37), 0)</f>
        <v>0</v>
      </c>
      <c r="G178" s="2" t="str">
        <f t="shared" si="1"/>
        <v/>
      </c>
    </row>
    <row r="179" ht="15.75" customHeight="1">
      <c r="E179" s="2" t="str">
        <f>IF(B179=0, Summary!B20, IF(B179=1, Summary!B21, IF(B179=2, Summary!B22, IF(B179=3, Summary!B23, ""))))</f>
        <v/>
      </c>
      <c r="F179" s="2">
        <f>IF(C179&gt;0, Summary!B36 * C179 / IF(Summary!B37=0, 1, Summary!B37), 0)</f>
        <v>0</v>
      </c>
      <c r="G179" s="2" t="str">
        <f t="shared" si="1"/>
        <v/>
      </c>
    </row>
    <row r="180" ht="15.75" customHeight="1">
      <c r="E180" s="2" t="str">
        <f>IF(B180=0, Summary!B20, IF(B180=1, Summary!B21, IF(B180=2, Summary!B22, IF(B180=3, Summary!B23, ""))))</f>
        <v/>
      </c>
      <c r="F180" s="2">
        <f>IF(C180&gt;0, Summary!B36 * C180 / IF(Summary!B37=0, 1, Summary!B37), 0)</f>
        <v>0</v>
      </c>
      <c r="G180" s="2" t="str">
        <f t="shared" si="1"/>
        <v/>
      </c>
    </row>
    <row r="181" ht="15.75" customHeight="1">
      <c r="E181" s="2" t="str">
        <f>IF(B181=0, Summary!B20, IF(B181=1, Summary!B21, IF(B181=2, Summary!B22, IF(B181=3, Summary!B23, ""))))</f>
        <v/>
      </c>
      <c r="F181" s="2">
        <f>IF(C181&gt;0, Summary!B36 * C181 / IF(Summary!B37=0, 1, Summary!B37), 0)</f>
        <v>0</v>
      </c>
      <c r="G181" s="2" t="str">
        <f t="shared" si="1"/>
        <v/>
      </c>
    </row>
    <row r="182" ht="15.75" customHeight="1">
      <c r="E182" s="2" t="str">
        <f>IF(B182=0, Summary!B20, IF(B182=1, Summary!B21, IF(B182=2, Summary!B22, IF(B182=3, Summary!B23, ""))))</f>
        <v/>
      </c>
      <c r="F182" s="2">
        <f>IF(C182&gt;0, Summary!B36 * C182 / IF(Summary!B37=0, 1, Summary!B37), 0)</f>
        <v>0</v>
      </c>
      <c r="G182" s="2" t="str">
        <f t="shared" si="1"/>
        <v/>
      </c>
    </row>
    <row r="183" ht="15.75" customHeight="1">
      <c r="E183" s="2" t="str">
        <f>IF(B183=0, Summary!B20, IF(B183=1, Summary!B21, IF(B183=2, Summary!B22, IF(B183=3, Summary!B23, ""))))</f>
        <v/>
      </c>
      <c r="F183" s="2">
        <f>IF(C183&gt;0, Summary!B36 * C183 / IF(Summary!B37=0, 1, Summary!B37), 0)</f>
        <v>0</v>
      </c>
      <c r="G183" s="2" t="str">
        <f t="shared" si="1"/>
        <v/>
      </c>
    </row>
    <row r="184" ht="15.75" customHeight="1">
      <c r="E184" s="2" t="str">
        <f>IF(B184=0, Summary!B20, IF(B184=1, Summary!B21, IF(B184=2, Summary!B22, IF(B184=3, Summary!B23, ""))))</f>
        <v/>
      </c>
      <c r="F184" s="2">
        <f>IF(C184&gt;0, Summary!B36 * C184 / IF(Summary!B37=0, 1, Summary!B37), 0)</f>
        <v>0</v>
      </c>
      <c r="G184" s="2" t="str">
        <f t="shared" si="1"/>
        <v/>
      </c>
    </row>
    <row r="185" ht="15.75" customHeight="1">
      <c r="E185" s="2" t="str">
        <f>IF(B185=0, Summary!B20, IF(B185=1, Summary!B21, IF(B185=2, Summary!B22, IF(B185=3, Summary!B23, ""))))</f>
        <v/>
      </c>
      <c r="F185" s="2">
        <f>IF(C185&gt;0, Summary!B36 * C185 / IF(Summary!B37=0, 1, Summary!B37), 0)</f>
        <v>0</v>
      </c>
      <c r="G185" s="2" t="str">
        <f t="shared" si="1"/>
        <v/>
      </c>
    </row>
    <row r="186" ht="15.75" customHeight="1">
      <c r="E186" s="2" t="str">
        <f>IF(B186=0, Summary!B20, IF(B186=1, Summary!B21, IF(B186=2, Summary!B22, IF(B186=3, Summary!B23, ""))))</f>
        <v/>
      </c>
      <c r="F186" s="2">
        <f>IF(C186&gt;0, Summary!B36 * C186 / IF(Summary!B37=0, 1, Summary!B37), 0)</f>
        <v>0</v>
      </c>
      <c r="G186" s="2" t="str">
        <f t="shared" si="1"/>
        <v/>
      </c>
    </row>
    <row r="187" ht="15.75" customHeight="1">
      <c r="E187" s="2" t="str">
        <f>IF(B187=0, Summary!B20, IF(B187=1, Summary!B21, IF(B187=2, Summary!B22, IF(B187=3, Summary!B23, ""))))</f>
        <v/>
      </c>
      <c r="F187" s="2">
        <f>IF(C187&gt;0, Summary!B36 * C187 / IF(Summary!B37=0, 1, Summary!B37), 0)</f>
        <v>0</v>
      </c>
      <c r="G187" s="2" t="str">
        <f t="shared" si="1"/>
        <v/>
      </c>
    </row>
    <row r="188" ht="15.75" customHeight="1">
      <c r="E188" s="2" t="str">
        <f>IF(B188=0, Summary!B20, IF(B188=1, Summary!B21, IF(B188=2, Summary!B22, IF(B188=3, Summary!B23, ""))))</f>
        <v/>
      </c>
      <c r="F188" s="2">
        <f>IF(C188&gt;0, Summary!B36 * C188 / IF(Summary!B37=0, 1, Summary!B37), 0)</f>
        <v>0</v>
      </c>
      <c r="G188" s="2" t="str">
        <f t="shared" si="1"/>
        <v/>
      </c>
    </row>
    <row r="189" ht="15.75" customHeight="1">
      <c r="E189" s="2" t="str">
        <f>IF(B189=0, Summary!B20, IF(B189=1, Summary!B21, IF(B189=2, Summary!B22, IF(B189=3, Summary!B23, ""))))</f>
        <v/>
      </c>
      <c r="F189" s="2">
        <f>IF(C189&gt;0, Summary!B36 * C189 / IF(Summary!B37=0, 1, Summary!B37), 0)</f>
        <v>0</v>
      </c>
      <c r="G189" s="2" t="str">
        <f t="shared" si="1"/>
        <v/>
      </c>
    </row>
    <row r="190" ht="15.75" customHeight="1">
      <c r="E190" s="2" t="str">
        <f>IF(B190=0, Summary!B20, IF(B190=1, Summary!B21, IF(B190=2, Summary!B22, IF(B190=3, Summary!B23, ""))))</f>
        <v/>
      </c>
      <c r="F190" s="2">
        <f>IF(C190&gt;0, Summary!B36 * C190 / IF(Summary!B37=0, 1, Summary!B37), 0)</f>
        <v>0</v>
      </c>
      <c r="G190" s="2" t="str">
        <f t="shared" si="1"/>
        <v/>
      </c>
    </row>
    <row r="191" ht="15.75" customHeight="1">
      <c r="E191" s="2" t="str">
        <f>IF(B191=0, Summary!B20, IF(B191=1, Summary!B21, IF(B191=2, Summary!B22, IF(B191=3, Summary!B23, ""))))</f>
        <v/>
      </c>
      <c r="F191" s="2">
        <f>IF(C191&gt;0, Summary!B36 * C191 / IF(Summary!B37=0, 1, Summary!B37), 0)</f>
        <v>0</v>
      </c>
      <c r="G191" s="2" t="str">
        <f t="shared" si="1"/>
        <v/>
      </c>
    </row>
    <row r="192" ht="15.75" customHeight="1">
      <c r="E192" s="2" t="str">
        <f>IF(B192=0, Summary!B20, IF(B192=1, Summary!B21, IF(B192=2, Summary!B22, IF(B192=3, Summary!B23, ""))))</f>
        <v/>
      </c>
      <c r="F192" s="2">
        <f>IF(C192&gt;0, Summary!B36 * C192 / IF(Summary!B37=0, 1, Summary!B37), 0)</f>
        <v>0</v>
      </c>
      <c r="G192" s="2" t="str">
        <f t="shared" si="1"/>
        <v/>
      </c>
    </row>
    <row r="193" ht="15.75" customHeight="1">
      <c r="E193" s="2" t="str">
        <f>IF(B193=0, Summary!B20, IF(B193=1, Summary!B21, IF(B193=2, Summary!B22, IF(B193=3, Summary!B23, ""))))</f>
        <v/>
      </c>
      <c r="F193" s="2">
        <f>IF(C193&gt;0, Summary!B36 * C193 / IF(Summary!B37=0, 1, Summary!B37), 0)</f>
        <v>0</v>
      </c>
      <c r="G193" s="2" t="str">
        <f t="shared" si="1"/>
        <v/>
      </c>
    </row>
    <row r="194" ht="15.75" customHeight="1">
      <c r="E194" s="2" t="str">
        <f>IF(B194=0, Summary!B20, IF(B194=1, Summary!B21, IF(B194=2, Summary!B22, IF(B194=3, Summary!B23, ""))))</f>
        <v/>
      </c>
      <c r="F194" s="2">
        <f>IF(C194&gt;0, Summary!B36 * C194 / IF(Summary!B37=0, 1, Summary!B37), 0)</f>
        <v>0</v>
      </c>
      <c r="G194" s="2" t="str">
        <f t="shared" si="1"/>
        <v/>
      </c>
    </row>
    <row r="195" ht="15.75" customHeight="1">
      <c r="E195" s="2" t="str">
        <f>IF(B195=0, Summary!B20, IF(B195=1, Summary!B21, IF(B195=2, Summary!B22, IF(B195=3, Summary!B23, ""))))</f>
        <v/>
      </c>
      <c r="F195" s="2">
        <f>IF(C195&gt;0, Summary!B36 * C195 / IF(Summary!B37=0, 1, Summary!B37), 0)</f>
        <v>0</v>
      </c>
      <c r="G195" s="2" t="str">
        <f t="shared" si="1"/>
        <v/>
      </c>
    </row>
    <row r="196" ht="15.75" customHeight="1">
      <c r="E196" s="2" t="str">
        <f>IF(B196=0, Summary!B20, IF(B196=1, Summary!B21, IF(B196=2, Summary!B22, IF(B196=3, Summary!B23, ""))))</f>
        <v/>
      </c>
      <c r="F196" s="2">
        <f>IF(C196&gt;0, Summary!B36 * C196 / IF(Summary!B37=0, 1, Summary!B37), 0)</f>
        <v>0</v>
      </c>
      <c r="G196" s="2" t="str">
        <f t="shared" si="1"/>
        <v/>
      </c>
    </row>
    <row r="197" ht="15.75" customHeight="1">
      <c r="E197" s="2" t="str">
        <f>IF(B197=0, Summary!B20, IF(B197=1, Summary!B21, IF(B197=2, Summary!B22, IF(B197=3, Summary!B23, ""))))</f>
        <v/>
      </c>
      <c r="F197" s="2">
        <f>IF(C197&gt;0, Summary!B36 * C197 / IF(Summary!B37=0, 1, Summary!B37), 0)</f>
        <v>0</v>
      </c>
      <c r="G197" s="2" t="str">
        <f t="shared" si="1"/>
        <v/>
      </c>
    </row>
    <row r="198" ht="15.75" customHeight="1">
      <c r="E198" s="2" t="str">
        <f>IF(B198=0, Summary!B20, IF(B198=1, Summary!B21, IF(B198=2, Summary!B22, IF(B198=3, Summary!B23, ""))))</f>
        <v/>
      </c>
      <c r="F198" s="2">
        <f>IF(C198&gt;0, Summary!B36 * C198 / IF(Summary!B37=0, 1, Summary!B37), 0)</f>
        <v>0</v>
      </c>
      <c r="G198" s="2" t="str">
        <f t="shared" si="1"/>
        <v/>
      </c>
    </row>
    <row r="199" ht="15.75" customHeight="1">
      <c r="E199" s="2" t="str">
        <f>IF(B199=0, Summary!B20, IF(B199=1, Summary!B21, IF(B199=2, Summary!B22, IF(B199=3, Summary!B23, ""))))</f>
        <v/>
      </c>
      <c r="F199" s="2">
        <f>IF(C199&gt;0, Summary!B36 * C199 / IF(Summary!B37=0, 1, Summary!B37), 0)</f>
        <v>0</v>
      </c>
      <c r="G199" s="2" t="str">
        <f t="shared" si="1"/>
        <v/>
      </c>
    </row>
    <row r="200" ht="15.75" customHeight="1">
      <c r="E200" s="2" t="str">
        <f>IF(B200=0, Summary!B20, IF(B200=1, Summary!B21, IF(B200=2, Summary!B22, IF(B200=3, Summary!B23, ""))))</f>
        <v/>
      </c>
      <c r="F200" s="2">
        <f>IF(C200&gt;0, Summary!B36 * C200 / IF(Summary!B37=0, 1, Summary!B37), 0)</f>
        <v>0</v>
      </c>
      <c r="G200" s="2" t="str">
        <f t="shared" si="1"/>
        <v/>
      </c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